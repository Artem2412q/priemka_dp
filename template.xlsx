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O:\Проект -Дистанционная приемка-\Дорожная карта, вопросы, проработка\Матрица приемки Опер. модель\Тестирование\"/>
    </mc:Choice>
  </mc:AlternateContent>
  <xr:revisionPtr revIDLastSave="0" documentId="13_ncr:1_{6A580467-97F6-4C87-9C3C-444AE117B201}" xr6:coauthVersionLast="47" xr6:coauthVersionMax="47" xr10:uidLastSave="{00000000-0000-0000-0000-000000000000}"/>
  <bookViews>
    <workbookView xWindow="2220" yWindow="-21720" windowWidth="38640" windowHeight="21120" tabRatio="789" activeTab="1" xr2:uid="{00000000-000D-0000-FFFF-FFFF00000000}"/>
  </bookViews>
  <sheets>
    <sheet name="Пошаговая_инстр_МОКК" sheetId="1" r:id="rId1"/>
    <sheet name="Чек лист_ДП_Отчет" sheetId="2" r:id="rId2"/>
    <sheet name="Лист1" sheetId="3" r:id="rId3"/>
    <sheet name="Тех_метки_для_Python" sheetId="4" state="hidden" r:id="rId4"/>
    <sheet name="вспомогательная таблица" sheetId="5" state="hidden" r:id="rId5"/>
  </sheets>
  <definedNames>
    <definedName name="_FilterDatabase" localSheetId="1" hidden="1">'Чек лист_ДП_Отчет'!$A$17:$AZ$17</definedName>
    <definedName name="_xlnm._FilterDatabase" localSheetId="1" hidden="1">'Чек лист_ДП_Отчет'!$A$24:$DA$24</definedName>
    <definedName name="checklist_duration">'Чек лист_ДП_Отчет'!$I$75</definedName>
    <definedName name="checklist_end">'Чек лист_ДП_Отчет'!$I$74</definedName>
    <definedName name="checklist_start">'Чек лист_ДП_Отчет'!$D$2</definedName>
    <definedName name="expansion_group_1">Тех_метки_для_Python!$B$13</definedName>
    <definedName name="expansion_group_2">Тех_метки_для_Python!$B$14</definedName>
    <definedName name="layout_mode">Тех_метки_для_Python!$B$15</definedName>
    <definedName name="package_acceptance_duration">'Чек лист_ДП_Отчет'!$K$60</definedName>
    <definedName name="package_acceptance_end">'Чек лист_ДП_Отчет'!$K$58</definedName>
    <definedName name="package_acceptance_start">'Чек лист_ДП_Отчет'!$K$59</definedName>
    <definedName name="schema_version">Тех_метки_для_Python!$B$9</definedName>
    <definedName name="sku_capacity">Тех_метки_для_Python!$B$10</definedName>
    <definedName name="sku_status_anchor">'Чек лист_ДП_Отчет'!$J$24</definedName>
    <definedName name="sku_time_duration_anchor">'Чек лист_ДП_Отчет'!$K$57</definedName>
    <definedName name="sku_time_end_anchor">'Чек лист_ДП_Отчет'!$K$56</definedName>
    <definedName name="sku_time_start_anchor">'Чек лист_ДП_Отчет'!$K$55</definedName>
    <definedName name="template_id">Тех_метки_для_Python!$B$7</definedName>
    <definedName name="template_version">Тех_метки_для_Python!$B$8</definedName>
    <definedName name="total_cycle_duration">'Чек лист_ДП_Отчет'!$I$76</definedName>
    <definedName name="visible_base">Тех_метки_для_Python!$B$12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2" l="1"/>
  <c r="D7" i="2"/>
  <c r="D8" i="2"/>
  <c r="D9" i="2"/>
  <c r="I75" i="2"/>
  <c r="CM71" i="2"/>
  <c r="CF71" i="2"/>
  <c r="BY71" i="2"/>
  <c r="BR71" i="2"/>
  <c r="BK71" i="2"/>
  <c r="BD71" i="2"/>
  <c r="AW71" i="2"/>
  <c r="AP71" i="2"/>
  <c r="AI71" i="2"/>
  <c r="AB71" i="2"/>
  <c r="U71" i="2"/>
  <c r="N71" i="2"/>
  <c r="CI54" i="2"/>
  <c r="CJ56" i="2" s="1"/>
  <c r="CB54" i="2"/>
  <c r="BU54" i="2"/>
  <c r="BV56" i="2" s="1"/>
  <c r="BN54" i="2"/>
  <c r="BG54" i="2"/>
  <c r="AZ54" i="2"/>
  <c r="BA56" i="2" s="1"/>
  <c r="AS54" i="2"/>
  <c r="AT56" i="2" s="1"/>
  <c r="AL54" i="2"/>
  <c r="AM56" i="2" s="1"/>
  <c r="AE54" i="2"/>
  <c r="X54" i="2"/>
  <c r="Y56" i="2" s="1"/>
  <c r="Q54" i="2"/>
  <c r="R56" i="2" s="1"/>
  <c r="J54" i="2"/>
  <c r="K56" i="2" s="1"/>
  <c r="DA52" i="2"/>
  <c r="CZ52" i="2"/>
  <c r="CY52" i="2"/>
  <c r="CX52" i="2"/>
  <c r="CW52" i="2"/>
  <c r="CV52" i="2"/>
  <c r="CU52" i="2"/>
  <c r="CT52" i="2"/>
  <c r="CS52" i="2"/>
  <c r="CR52" i="2"/>
  <c r="CQ52" i="2"/>
  <c r="CP52" i="2"/>
  <c r="DA51" i="2"/>
  <c r="CZ51" i="2"/>
  <c r="CY51" i="2"/>
  <c r="CX51" i="2"/>
  <c r="CW51" i="2"/>
  <c r="CV51" i="2"/>
  <c r="CU51" i="2"/>
  <c r="CT51" i="2"/>
  <c r="CS51" i="2"/>
  <c r="CR51" i="2"/>
  <c r="CQ51" i="2"/>
  <c r="CP51" i="2"/>
  <c r="DA49" i="2"/>
  <c r="CZ49" i="2"/>
  <c r="CY49" i="2"/>
  <c r="CX49" i="2"/>
  <c r="CW49" i="2"/>
  <c r="CV49" i="2"/>
  <c r="CU49" i="2"/>
  <c r="CT49" i="2"/>
  <c r="CS49" i="2"/>
  <c r="CR49" i="2"/>
  <c r="CQ49" i="2"/>
  <c r="CP49" i="2"/>
  <c r="DA48" i="2"/>
  <c r="CZ48" i="2"/>
  <c r="CY48" i="2"/>
  <c r="CX48" i="2"/>
  <c r="CW48" i="2"/>
  <c r="CV48" i="2"/>
  <c r="CU48" i="2"/>
  <c r="CT48" i="2"/>
  <c r="CS48" i="2"/>
  <c r="CR48" i="2"/>
  <c r="CQ48" i="2"/>
  <c r="CP48" i="2"/>
  <c r="DA47" i="2"/>
  <c r="CZ47" i="2"/>
  <c r="CY47" i="2"/>
  <c r="CX47" i="2"/>
  <c r="CW47" i="2"/>
  <c r="CV47" i="2"/>
  <c r="CU47" i="2"/>
  <c r="CT47" i="2"/>
  <c r="CS47" i="2"/>
  <c r="CR47" i="2"/>
  <c r="CQ47" i="2"/>
  <c r="CP47" i="2"/>
  <c r="DA46" i="2"/>
  <c r="CZ46" i="2"/>
  <c r="CY46" i="2"/>
  <c r="CX46" i="2"/>
  <c r="CW46" i="2"/>
  <c r="CV46" i="2"/>
  <c r="CU46" i="2"/>
  <c r="CT46" i="2"/>
  <c r="CS46" i="2"/>
  <c r="CR46" i="2"/>
  <c r="CQ46" i="2"/>
  <c r="CP46" i="2"/>
  <c r="DA45" i="2"/>
  <c r="CZ45" i="2"/>
  <c r="CY45" i="2"/>
  <c r="CX45" i="2"/>
  <c r="CW45" i="2"/>
  <c r="CV45" i="2"/>
  <c r="CU45" i="2"/>
  <c r="CT45" i="2"/>
  <c r="CS45" i="2"/>
  <c r="CR45" i="2"/>
  <c r="CQ45" i="2"/>
  <c r="CP45" i="2"/>
  <c r="DA42" i="2"/>
  <c r="CZ42" i="2"/>
  <c r="CY42" i="2"/>
  <c r="CX42" i="2"/>
  <c r="CW42" i="2"/>
  <c r="CV42" i="2"/>
  <c r="CU42" i="2"/>
  <c r="CT42" i="2"/>
  <c r="CS42" i="2"/>
  <c r="CR42" i="2"/>
  <c r="CQ42" i="2"/>
  <c r="CP42" i="2"/>
  <c r="DA40" i="2"/>
  <c r="AF16" i="2" s="1"/>
  <c r="CZ40" i="2"/>
  <c r="AF15" i="2" s="1"/>
  <c r="CY40" i="2"/>
  <c r="AF14" i="2" s="1"/>
  <c r="CX40" i="2"/>
  <c r="AF13" i="2" s="1"/>
  <c r="CW40" i="2"/>
  <c r="AF12" i="2" s="1"/>
  <c r="CV40" i="2"/>
  <c r="AF11" i="2" s="1"/>
  <c r="CU40" i="2"/>
  <c r="AF10" i="2" s="1"/>
  <c r="CT40" i="2"/>
  <c r="AF9" i="2" s="1"/>
  <c r="CS40" i="2"/>
  <c r="AF8" i="2" s="1"/>
  <c r="CR40" i="2"/>
  <c r="AF7" i="2" s="1"/>
  <c r="CQ40" i="2"/>
  <c r="AF6" i="2" s="1"/>
  <c r="CP40" i="2"/>
  <c r="AF5" i="2" s="1"/>
  <c r="DA39" i="2"/>
  <c r="CZ39" i="2"/>
  <c r="CY39" i="2"/>
  <c r="CX39" i="2"/>
  <c r="CW39" i="2"/>
  <c r="CV39" i="2"/>
  <c r="CU39" i="2"/>
  <c r="CT39" i="2"/>
  <c r="CS39" i="2"/>
  <c r="CR39" i="2"/>
  <c r="CQ39" i="2"/>
  <c r="CP39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DA37" i="2"/>
  <c r="CZ37" i="2"/>
  <c r="CY37" i="2"/>
  <c r="CX37" i="2"/>
  <c r="CW37" i="2"/>
  <c r="CV37" i="2"/>
  <c r="CU37" i="2"/>
  <c r="CT37" i="2"/>
  <c r="CS37" i="2"/>
  <c r="CR37" i="2"/>
  <c r="CQ37" i="2"/>
  <c r="CP37" i="2"/>
  <c r="DA36" i="2"/>
  <c r="CZ36" i="2"/>
  <c r="CY36" i="2"/>
  <c r="CX36" i="2"/>
  <c r="CW36" i="2"/>
  <c r="CV36" i="2"/>
  <c r="CU36" i="2"/>
  <c r="CT36" i="2"/>
  <c r="CS36" i="2"/>
  <c r="CR36" i="2"/>
  <c r="CQ36" i="2"/>
  <c r="CP36" i="2"/>
  <c r="DA34" i="2"/>
  <c r="CZ34" i="2"/>
  <c r="CY34" i="2"/>
  <c r="CX34" i="2"/>
  <c r="CW34" i="2"/>
  <c r="CV34" i="2"/>
  <c r="CU34" i="2"/>
  <c r="CT34" i="2"/>
  <c r="CS34" i="2"/>
  <c r="CR34" i="2"/>
  <c r="CQ34" i="2"/>
  <c r="CP34" i="2"/>
  <c r="DA33" i="2"/>
  <c r="CZ33" i="2"/>
  <c r="CY33" i="2"/>
  <c r="CX33" i="2"/>
  <c r="CW33" i="2"/>
  <c r="CV33" i="2"/>
  <c r="CU33" i="2"/>
  <c r="CT33" i="2"/>
  <c r="CS33" i="2"/>
  <c r="CR33" i="2"/>
  <c r="CQ33" i="2"/>
  <c r="CP33" i="2"/>
  <c r="DA32" i="2"/>
  <c r="CZ32" i="2"/>
  <c r="CY32" i="2"/>
  <c r="CX32" i="2"/>
  <c r="CW32" i="2"/>
  <c r="CV32" i="2"/>
  <c r="CU32" i="2"/>
  <c r="CT32" i="2"/>
  <c r="CS32" i="2"/>
  <c r="CR32" i="2"/>
  <c r="CQ32" i="2"/>
  <c r="CP32" i="2"/>
  <c r="DA31" i="2"/>
  <c r="CZ31" i="2"/>
  <c r="CY31" i="2"/>
  <c r="CX31" i="2"/>
  <c r="CW31" i="2"/>
  <c r="CV31" i="2"/>
  <c r="CU31" i="2"/>
  <c r="CT31" i="2"/>
  <c r="CS31" i="2"/>
  <c r="CR31" i="2"/>
  <c r="CQ31" i="2"/>
  <c r="CP31" i="2"/>
  <c r="DA30" i="2"/>
  <c r="CZ30" i="2"/>
  <c r="CY30" i="2"/>
  <c r="CX30" i="2"/>
  <c r="CW30" i="2"/>
  <c r="CV30" i="2"/>
  <c r="CU30" i="2"/>
  <c r="CT30" i="2"/>
  <c r="CS30" i="2"/>
  <c r="CR30" i="2"/>
  <c r="CQ30" i="2"/>
  <c r="CP30" i="2"/>
  <c r="DA29" i="2"/>
  <c r="CZ29" i="2"/>
  <c r="CY29" i="2"/>
  <c r="CX29" i="2"/>
  <c r="CW29" i="2"/>
  <c r="CV29" i="2"/>
  <c r="CU29" i="2"/>
  <c r="CT29" i="2"/>
  <c r="CS29" i="2"/>
  <c r="CR29" i="2"/>
  <c r="CQ29" i="2"/>
  <c r="CP29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DA26" i="2"/>
  <c r="CZ26" i="2"/>
  <c r="CY26" i="2"/>
  <c r="CX26" i="2"/>
  <c r="CW26" i="2"/>
  <c r="CV26" i="2"/>
  <c r="CU26" i="2"/>
  <c r="CT26" i="2"/>
  <c r="CS26" i="2"/>
  <c r="CR26" i="2"/>
  <c r="CQ26" i="2"/>
  <c r="CP26" i="2"/>
  <c r="DA25" i="2"/>
  <c r="CZ25" i="2"/>
  <c r="CY25" i="2"/>
  <c r="CX25" i="2"/>
  <c r="CW25" i="2"/>
  <c r="CV25" i="2"/>
  <c r="CU25" i="2"/>
  <c r="CT25" i="2"/>
  <c r="CS25" i="2"/>
  <c r="CR25" i="2"/>
  <c r="CQ25" i="2"/>
  <c r="CP25" i="2"/>
  <c r="CI23" i="2"/>
  <c r="CB23" i="2"/>
  <c r="BU23" i="2"/>
  <c r="BN23" i="2"/>
  <c r="BG23" i="2"/>
  <c r="AZ23" i="2"/>
  <c r="AS23" i="2"/>
  <c r="AL23" i="2"/>
  <c r="AE23" i="2"/>
  <c r="X23" i="2"/>
  <c r="Q23" i="2"/>
  <c r="J23" i="2"/>
  <c r="AD16" i="2"/>
  <c r="Y16" i="2"/>
  <c r="W16" i="2"/>
  <c r="V16" i="2"/>
  <c r="U16" i="2"/>
  <c r="T16" i="2"/>
  <c r="S16" i="2"/>
  <c r="D16" i="2"/>
  <c r="AD15" i="2"/>
  <c r="Y15" i="2"/>
  <c r="W15" i="2"/>
  <c r="V15" i="2"/>
  <c r="U15" i="2"/>
  <c r="T15" i="2"/>
  <c r="S15" i="2"/>
  <c r="D15" i="2"/>
  <c r="AD14" i="2"/>
  <c r="Y14" i="2"/>
  <c r="W14" i="2"/>
  <c r="V14" i="2"/>
  <c r="U14" i="2"/>
  <c r="T14" i="2"/>
  <c r="S14" i="2"/>
  <c r="D14" i="2"/>
  <c r="AD13" i="2"/>
  <c r="Y13" i="2"/>
  <c r="W13" i="2"/>
  <c r="V13" i="2"/>
  <c r="U13" i="2"/>
  <c r="T13" i="2"/>
  <c r="S13" i="2"/>
  <c r="D13" i="2"/>
  <c r="AD12" i="2"/>
  <c r="Y12" i="2"/>
  <c r="W12" i="2"/>
  <c r="V12" i="2"/>
  <c r="U12" i="2"/>
  <c r="T12" i="2"/>
  <c r="S12" i="2"/>
  <c r="D12" i="2"/>
  <c r="AD11" i="2"/>
  <c r="Y11" i="2"/>
  <c r="W11" i="2"/>
  <c r="V11" i="2"/>
  <c r="U11" i="2"/>
  <c r="T11" i="2"/>
  <c r="S11" i="2"/>
  <c r="D11" i="2"/>
  <c r="AD10" i="2"/>
  <c r="Y10" i="2"/>
  <c r="W10" i="2"/>
  <c r="V10" i="2"/>
  <c r="U10" i="2"/>
  <c r="T10" i="2"/>
  <c r="S10" i="2"/>
  <c r="D10" i="2"/>
  <c r="AD9" i="2"/>
  <c r="Y9" i="2"/>
  <c r="W9" i="2"/>
  <c r="V9" i="2"/>
  <c r="U9" i="2"/>
  <c r="T9" i="2"/>
  <c r="S9" i="2"/>
  <c r="AD8" i="2"/>
  <c r="Y8" i="2"/>
  <c r="W8" i="2"/>
  <c r="V8" i="2"/>
  <c r="U8" i="2"/>
  <c r="T8" i="2"/>
  <c r="S8" i="2"/>
  <c r="AD7" i="2"/>
  <c r="Y7" i="2"/>
  <c r="W7" i="2"/>
  <c r="V7" i="2"/>
  <c r="U7" i="2"/>
  <c r="T7" i="2"/>
  <c r="S7" i="2"/>
  <c r="AD6" i="2"/>
  <c r="Y6" i="2"/>
  <c r="W6" i="2"/>
  <c r="V6" i="2"/>
  <c r="U6" i="2"/>
  <c r="T6" i="2"/>
  <c r="S6" i="2"/>
  <c r="AD5" i="2"/>
  <c r="Y5" i="2"/>
  <c r="W5" i="2"/>
  <c r="V5" i="2"/>
  <c r="U5" i="2"/>
  <c r="T5" i="2"/>
  <c r="S5" i="2"/>
  <c r="H2" i="2"/>
  <c r="DA55" i="2" l="1"/>
  <c r="AE16" i="2" s="1"/>
  <c r="AG16" i="2" s="1"/>
  <c r="CP55" i="2"/>
  <c r="AE5" i="2" s="1"/>
  <c r="AG5" i="2" s="1"/>
  <c r="CQ55" i="2"/>
  <c r="AE6" i="2" s="1"/>
  <c r="AG6" i="2" s="1"/>
  <c r="CR55" i="2"/>
  <c r="AE7" i="2" s="1"/>
  <c r="AG7" i="2" s="1"/>
  <c r="CS55" i="2"/>
  <c r="AE8" i="2" s="1"/>
  <c r="AG8" i="2" s="1"/>
  <c r="CT55" i="2"/>
  <c r="AE9" i="2" s="1"/>
  <c r="AG9" i="2" s="1"/>
  <c r="CU55" i="2"/>
  <c r="AE10" i="2" s="1"/>
  <c r="AG10" i="2" s="1"/>
  <c r="CV55" i="2"/>
  <c r="AE11" i="2" s="1"/>
  <c r="AG11" i="2" s="1"/>
  <c r="CW55" i="2"/>
  <c r="AE12" i="2" s="1"/>
  <c r="AG12" i="2" s="1"/>
  <c r="CX55" i="2"/>
  <c r="AE13" i="2" s="1"/>
  <c r="AG13" i="2" s="1"/>
  <c r="CY55" i="2"/>
  <c r="AE14" i="2" s="1"/>
  <c r="AG14" i="2" s="1"/>
  <c r="CZ55" i="2"/>
  <c r="AE15" i="2" s="1"/>
  <c r="AG15" i="2" s="1"/>
  <c r="K59" i="2"/>
  <c r="R55" i="2"/>
  <c r="R57" i="2" s="1"/>
  <c r="AH6" i="2" s="1"/>
  <c r="AM55" i="2"/>
  <c r="AM57" i="2" s="1"/>
  <c r="AH9" i="2" s="1"/>
  <c r="AT55" i="2"/>
  <c r="AT57" i="2" s="1"/>
  <c r="AH10" i="2" s="1"/>
  <c r="K58" i="2"/>
  <c r="AI10" i="2" s="1"/>
  <c r="K55" i="2"/>
  <c r="K57" i="2" s="1"/>
  <c r="AH5" i="2" s="1"/>
  <c r="BV55" i="2"/>
  <c r="BV57" i="2" s="1"/>
  <c r="AH14" i="2" s="1"/>
  <c r="AF56" i="2"/>
  <c r="CJ55" i="2"/>
  <c r="CJ57" i="2" s="1"/>
  <c r="AH16" i="2" s="1"/>
  <c r="Y55" i="2"/>
  <c r="Y57" i="2" s="1"/>
  <c r="AH7" i="2" s="1"/>
  <c r="BH56" i="2"/>
  <c r="AF55" i="2"/>
  <c r="BO56" i="2"/>
  <c r="CC56" i="2"/>
  <c r="BH55" i="2"/>
  <c r="BA55" i="2"/>
  <c r="BA57" i="2" s="1"/>
  <c r="AH11" i="2" s="1"/>
  <c r="BO55" i="2"/>
  <c r="CC55" i="2"/>
  <c r="AI13" i="2" l="1"/>
  <c r="AI11" i="2"/>
  <c r="AI14" i="2"/>
  <c r="AI7" i="2"/>
  <c r="K60" i="2"/>
  <c r="I76" i="2" s="1"/>
  <c r="AI12" i="2"/>
  <c r="AI9" i="2"/>
  <c r="AI15" i="2"/>
  <c r="AI8" i="2"/>
  <c r="AI5" i="2"/>
  <c r="AI16" i="2"/>
  <c r="AI6" i="2"/>
  <c r="BH57" i="2"/>
  <c r="AH12" i="2" s="1"/>
  <c r="BO57" i="2"/>
  <c r="AH13" i="2" s="1"/>
  <c r="AF57" i="2"/>
  <c r="AH8" i="2" s="1"/>
  <c r="CC57" i="2"/>
  <c r="AH15" i="2" s="1"/>
</calcChain>
</file>

<file path=xl/sharedStrings.xml><?xml version="1.0" encoding="utf-8"?>
<sst xmlns="http://schemas.openxmlformats.org/spreadsheetml/2006/main" count="454" uniqueCount="317">
  <si>
    <t>2. Инструкция МОКК</t>
  </si>
  <si>
    <t>Шаги</t>
  </si>
  <si>
    <t xml:space="preserve">Доп. </t>
  </si>
  <si>
    <t>Действия МОКК</t>
  </si>
  <si>
    <t>фото фиксация</t>
  </si>
  <si>
    <t>0 шаг</t>
  </si>
  <si>
    <t>Замер ВПТ</t>
  </si>
  <si>
    <t>Проверка прибора: поверка/калибровка, заряд, чистота зонда.</t>
  </si>
  <si>
    <t>Сделать замер по инструкции.</t>
  </si>
  <si>
    <t>Фото показания прибора</t>
  </si>
  <si>
    <t>0.1 шаг</t>
  </si>
  <si>
    <t>Получение координат  выборки</t>
  </si>
  <si>
    <t>Запуск генератора случайных чисел, маркировка выборки (скотч).</t>
  </si>
  <si>
    <t>1 шаг</t>
  </si>
  <si>
    <t xml:space="preserve">Начало проверки на качества </t>
  </si>
  <si>
    <t>Расположить акт тмц на столе текстом по направлению к камере.</t>
  </si>
  <si>
    <t>фото акта тмц</t>
  </si>
  <si>
    <t xml:space="preserve">Отходит (на 5 сек. Для фиксации фото) на 2 шага в право или лево от стороны тарных единица промаркированных скотчем </t>
  </si>
  <si>
    <t>2 шаг</t>
  </si>
  <si>
    <t>Выкладка выборки тарных единиц товара</t>
  </si>
  <si>
    <t xml:space="preserve">Выгружает выборку товара на паллеты, подвозит выборку к столу для досмотра. Располагает тарные единицы скотчем к камере. </t>
  </si>
  <si>
    <t>отойти на 5 сек</t>
  </si>
  <si>
    <t>3 шаг</t>
  </si>
  <si>
    <t>Проверка весов</t>
  </si>
  <si>
    <t>Подходит к веса, Проверка весов, обнуление значения</t>
  </si>
  <si>
    <t>4 шаг</t>
  </si>
  <si>
    <t>Контрольное взвешивание выборки</t>
  </si>
  <si>
    <t>Переместить выборку товара на весы, взвесить</t>
  </si>
  <si>
    <t>5 шаг</t>
  </si>
  <si>
    <t>Выкладка</t>
  </si>
  <si>
    <t>Одну тарную единицу выложить на стол</t>
  </si>
  <si>
    <t>Освободить тарную единицу, товар разложить на столе</t>
  </si>
  <si>
    <t>Взять пустую тару (короб, упаковку, сетку) из выборки.</t>
  </si>
  <si>
    <t>Взвесить пустую тару (короб, упаковку, сетку) на весах.</t>
  </si>
  <si>
    <t>фото показания прибора</t>
  </si>
  <si>
    <t xml:space="preserve">Разложить оставшиеся тарные единицы выборки в 1 слой на столе. </t>
  </si>
  <si>
    <t>* если остались тарные единицы и не возможно их всех распределить на столе в 1 слой, оставить тарные единицы рядом со столом на паллете, ожидать своей очереди</t>
  </si>
  <si>
    <t>** Если в поставке 2 и более SKU однородны, требуется отдельно на листе бумаге прописать какую товарну позицию осматриваем сейчас и расположить на столе досмотра. **</t>
  </si>
  <si>
    <t>6 шаг</t>
  </si>
  <si>
    <t>Определение сорта / цветности</t>
  </si>
  <si>
    <t>если это требуется по паспорту качества данного SKU</t>
  </si>
  <si>
    <t>Проверить цветность товара веером цветности. 
Взять веер цветности в руку. 
Поднести веер цветности к каждой SKU для проверки цветности в каждой ячейке.</t>
  </si>
  <si>
    <t>Расположить веер цветности по центру стола не закрывая товар.</t>
  </si>
  <si>
    <t>**В рамках 1 поставки 1 SKU параллельно совершать шаги можно (Например: 7,8 шаги делаются паралельно).**</t>
  </si>
  <si>
    <t>7 шаг</t>
  </si>
  <si>
    <t>Сортировка на фракции (категории)</t>
  </si>
  <si>
    <t>Распределить товар по категориям: «Качественный», «Брак», «Не стандарт», «Не калибр», «Осыпь».</t>
  </si>
  <si>
    <t>Каждую единицу товара осматривать со всех сторон: необходимо взять в руку 1 единицу товара осмотреть 1 сторону, перевернуть осмотреть 2 сторону</t>
  </si>
  <si>
    <t>При осмотре товара качественный товар осматривая со всех сторон (2-х сторон) убираем в тару.</t>
  </si>
  <si>
    <t>В процессе осмотра раскладывать плоды по ячейкам стола в 1 слой с табличкой названия категорий.  
«Брак» - Расположить товарные единицы дефектом к камере; 
«Не стандарт» - Расположить товарные единицы дефектом к камере, 
«Не калибр» - Расположить товарные единицы с замером калибратора к камере в соответствии с допусками, 
«Осыпь» - Расположить товарные единицы дефектом к камере</t>
  </si>
  <si>
    <t>Все лимитируемые дефекты/некалибр, которые необходимо замерить линейкой/калибратором, взять дефектную единицу замерить линейкой, развернуть на камеру и остановиться на 5 секунд для фотофиксации.</t>
  </si>
  <si>
    <t>8 шаг</t>
  </si>
  <si>
    <t>Разрушающий контроль</t>
  </si>
  <si>
    <t>Проведение разрушающего контроля в не менее 2% от общей выборки из категории качества для определения внутренних скрытых дефектов, кроме «КАРТОФЕЛЬ свеж. цена 1кг» (обязательны к разрезке из каждого мешка 10 картофелин). Разрезание плодов и фруктов или вскрытие упаковки (при наличии индивидуальной упаковки).  
Отнести к нужной категории</t>
  </si>
  <si>
    <t>Фото каждой ячейки (1,n-кол-во категорий)</t>
  </si>
  <si>
    <t>Измерение плотности</t>
  </si>
  <si>
    <t>использовать в соответствии с инструкцией прибора и регламентом Бизнес процесса ДП, расположить замер на камеру</t>
  </si>
  <si>
    <t>Измерение сахара, Brix</t>
  </si>
  <si>
    <t>Если в поставке 2 и более SKU требующих замер, при фотофиксации необходимо расположить SKU рядом с замером.</t>
  </si>
  <si>
    <t>Фото показания прибора с единицей товара</t>
  </si>
  <si>
    <t>*если остались тарные единицы из выборки не прошедшие проверку и разделение товара на фракции, прогоняем каждую тарную единицу с 5 шага.</t>
  </si>
  <si>
    <t>9 шаг</t>
  </si>
  <si>
    <t>Контрольное взвешивание</t>
  </si>
  <si>
    <t>Взвесить каждую категорию товара в таре: брак, не стандарт, не калибр, осыпь.</t>
  </si>
  <si>
    <t>10 шаг</t>
  </si>
  <si>
    <t>Очистить рабочее пространство</t>
  </si>
  <si>
    <t xml:space="preserve">Очистить стол от выборки </t>
  </si>
  <si>
    <t>11 шаг</t>
  </si>
  <si>
    <t>Занесение данных</t>
  </si>
  <si>
    <t>Занести в систему
Общий вес выборки (вес нетто), вес по каждой категории (вес нетто).</t>
  </si>
  <si>
    <t>Сверить с допусками.</t>
  </si>
  <si>
    <t>вынести решение по системе/ система дает решение</t>
  </si>
  <si>
    <t>v.05/01</t>
  </si>
  <si>
    <t>4. Чек лист по контролю приемки по качеству (ДП)</t>
  </si>
  <si>
    <t>__TABLE1_START__</t>
  </si>
  <si>
    <t>Время подключения</t>
  </si>
  <si>
    <t>Контроль РЦ</t>
  </si>
  <si>
    <t>Уровни: 1 — 5 SKU | 2 — 10 SKU | 3 — 12 SKU</t>
  </si>
  <si>
    <t>Нужно сделать справочник</t>
  </si>
  <si>
    <t>Расчетный показатель</t>
  </si>
  <si>
    <t>расчетный показатель</t>
  </si>
  <si>
    <t>Код ошибки</t>
  </si>
  <si>
    <t>архив</t>
  </si>
  <si>
    <t>АРМ 1</t>
  </si>
  <si>
    <t>онлайн</t>
  </si>
  <si>
    <t>№</t>
  </si>
  <si>
    <t>№ заявки</t>
  </si>
  <si>
    <t>РЦ</t>
  </si>
  <si>
    <t>Дата (тек. Дата)</t>
  </si>
  <si>
    <t>Поставщик</t>
  </si>
  <si>
    <t>Код товара</t>
  </si>
  <si>
    <t>Название товара</t>
  </si>
  <si>
    <t>Формат приемки</t>
  </si>
  <si>
    <t>МОКК</t>
  </si>
  <si>
    <t>ДП (ID)</t>
  </si>
  <si>
    <t>ВПТ</t>
  </si>
  <si>
    <t>М выборки кг/шт</t>
  </si>
  <si>
    <t>М брака кг/шт</t>
  </si>
  <si>
    <t>Нестандарт масса кг/шт</t>
  </si>
  <si>
    <t>М осыпи/
листьев/
капусты/
земли</t>
  </si>
  <si>
    <t>М калибра</t>
  </si>
  <si>
    <t>% брака по МПР</t>
  </si>
  <si>
    <t>% брака</t>
  </si>
  <si>
    <t>% Нестандарт</t>
  </si>
  <si>
    <t>М осыпи/
листьев/
капусты/
земли %</t>
  </si>
  <si>
    <t>Калибр %</t>
  </si>
  <si>
    <t>осыпи/
листьев/
капусты/
земли %</t>
  </si>
  <si>
    <t>Brix</t>
  </si>
  <si>
    <t>Характер брака/нестандарта</t>
  </si>
  <si>
    <t>Ошибки в АРМ ДП (указываем если были ошибки)</t>
  </si>
  <si>
    <t>Комментарий</t>
  </si>
  <si>
    <t>счетчик ошибок в арм дп</t>
  </si>
  <si>
    <t>Кол-во ошибок по процесу (арм + процес)</t>
  </si>
  <si>
    <t>Кол-во ошибок на качество</t>
  </si>
  <si>
    <t>счетчик ошибок</t>
  </si>
  <si>
    <t>Время на приемку на РЦ</t>
  </si>
  <si>
    <t>Время на заполнение чек листа после приемки</t>
  </si>
  <si>
    <t>__TABLE1_END__</t>
  </si>
  <si>
    <t>Если при приемки сложно увидеть качество товара через камеру, то после осматриваем по фотографиям от МОКК.</t>
  </si>
  <si>
    <t>При нарушении последовательности шагов, отметить в комментарии "нарушение последовательности шаг__" (например: сделано контрольное взвешивание,. После данного шага сделан шаг измерение Brix, плотность)</t>
  </si>
  <si>
    <t>**В рамках 1 поставки 1 SKU паралельно совершать шаги можно (Например: 7,8 шаги делаются паралельно).**</t>
  </si>
  <si>
    <t>__TABLE2_START__</t>
  </si>
  <si>
    <t>** Если в поставке 2 и более SKU однородны, должен быть лист с указанием товарной позиции размещенной на столе досмотра **</t>
  </si>
  <si>
    <t>Код / код ошибки</t>
  </si>
  <si>
    <t>Шаг</t>
  </si>
  <si>
    <t>Этап</t>
  </si>
  <si>
    <t>Вопрос</t>
  </si>
  <si>
    <t>Статус 
(да/нет)</t>
  </si>
  <si>
    <t>0.1</t>
  </si>
  <si>
    <t>Есть фото замера ВПТ</t>
  </si>
  <si>
    <t>1.1 шаг</t>
  </si>
  <si>
    <t>Не контролируем данный шаг</t>
  </si>
  <si>
    <t>1.1</t>
  </si>
  <si>
    <t>Поиск заявки</t>
  </si>
  <si>
    <t xml:space="preserve">Акт ТМЦ расположен на столе </t>
  </si>
  <si>
    <t>2.1</t>
  </si>
  <si>
    <t>Выборка расположена к камере скотчем</t>
  </si>
  <si>
    <t>2.2</t>
  </si>
  <si>
    <t>3.1</t>
  </si>
  <si>
    <t>Весы исправны, включены и работают</t>
  </si>
  <si>
    <t>3.3</t>
  </si>
  <si>
    <t>Сделано ли обнуление прибора</t>
  </si>
  <si>
    <t>4.1</t>
  </si>
  <si>
    <t>Взвешивание произведено</t>
  </si>
  <si>
    <t>5.1</t>
  </si>
  <si>
    <t>Выкладка выборки на стол</t>
  </si>
  <si>
    <t>Пустую тару (короб, упаковку, сетку) из выборки взвесить на весах</t>
  </si>
  <si>
    <t>5.2</t>
  </si>
  <si>
    <t>Каждая единица товара разложена на стол в 1 слой</t>
  </si>
  <si>
    <t>5.3</t>
  </si>
  <si>
    <t>Сколько раз была выкладка выборки на стол в 1 слой</t>
  </si>
  <si>
    <t>6.1</t>
  </si>
  <si>
    <t xml:space="preserve">Проверен веером цветности </t>
  </si>
  <si>
    <t>6.2</t>
  </si>
  <si>
    <t>Веер цветности расположен по центру стола и не закрывает товарные единицы</t>
  </si>
  <si>
    <t>7.1</t>
  </si>
  <si>
    <t xml:space="preserve">Каждая товарная единица осмотрена со всех сторон </t>
  </si>
  <si>
    <t>7.2</t>
  </si>
  <si>
    <t>Разложены единицы товара по ячейкам с табличками, в 1 слой.</t>
  </si>
  <si>
    <t>7.3</t>
  </si>
  <si>
    <t>Разложеные единицы товара в ячейках соответствуют категории/табличке</t>
  </si>
  <si>
    <t>7.4</t>
  </si>
  <si>
    <t>7.5</t>
  </si>
  <si>
    <t xml:space="preserve">Замер лимитирующих дефектов/калибра сделан коректно на камеру. </t>
  </si>
  <si>
    <t>8.1</t>
  </si>
  <si>
    <t>Разрушающий контроль сделан корректно (не менее 2 % от общей выборки из категории качества)</t>
  </si>
  <si>
    <t>8.4</t>
  </si>
  <si>
    <t>Сделан замер корректно в соответствии с инструкцией к прибору и бизнес процессом</t>
  </si>
  <si>
    <t>8.5</t>
  </si>
  <si>
    <t>8.7</t>
  </si>
  <si>
    <t>8.8</t>
  </si>
  <si>
    <t>9.1</t>
  </si>
  <si>
    <t>Очищен стол от выборки</t>
  </si>
  <si>
    <t>мин</t>
  </si>
  <si>
    <t>мак</t>
  </si>
  <si>
    <t>__TABLE2_END__</t>
  </si>
  <si>
    <t>Время</t>
  </si>
  <si>
    <t>Для подсчета времени в установленный срок, когда была закончена приемка</t>
  </si>
  <si>
    <t>макс</t>
  </si>
  <si>
    <t>Мини Чек лист, оценки качества сотрудником ДП</t>
  </si>
  <si>
    <t>Тип дефекта</t>
  </si>
  <si>
    <t>визуальная оценка по камере</t>
  </si>
  <si>
    <t>Кол-во ед. товара с дефектами</t>
  </si>
  <si>
    <t>Комментарий ДП</t>
  </si>
  <si>
    <t>ИТОГО</t>
  </si>
  <si>
    <t>Окончание приемки (Заполнение отчета)</t>
  </si>
  <si>
    <t>Время на проверку и заполнение по поставке</t>
  </si>
  <si>
    <t>Астрахань Тинаки</t>
  </si>
  <si>
    <t>РЦ Астрахань Тинаки</t>
  </si>
  <si>
    <t>Батайск/Ростов-на-Дону</t>
  </si>
  <si>
    <t>РЦ Батайск/Ростов-на-Дону</t>
  </si>
  <si>
    <t>Великий Новгород</t>
  </si>
  <si>
    <t>РЦ Великий Новгород</t>
  </si>
  <si>
    <t>Воронеж</t>
  </si>
  <si>
    <t>РЦ Воронеж</t>
  </si>
  <si>
    <t>Дзержинск</t>
  </si>
  <si>
    <t>РЦ Дзержинск</t>
  </si>
  <si>
    <t>Дмитров</t>
  </si>
  <si>
    <t>РЦ Дмитров</t>
  </si>
  <si>
    <t>Ерзовка</t>
  </si>
  <si>
    <t>РЦ Ерзовка</t>
  </si>
  <si>
    <t>Зеленодольск</t>
  </si>
  <si>
    <t>РЦ Зеленодольск</t>
  </si>
  <si>
    <t>Иваново</t>
  </si>
  <si>
    <t>РЦ Иваново</t>
  </si>
  <si>
    <t>Ижевск</t>
  </si>
  <si>
    <t>РЦ Ижевск</t>
  </si>
  <si>
    <t>Кемерово</t>
  </si>
  <si>
    <t>РЦ Кемерово</t>
  </si>
  <si>
    <t>Киров</t>
  </si>
  <si>
    <t>РЦ Киров</t>
  </si>
  <si>
    <t>Коломна</t>
  </si>
  <si>
    <t>РЦ Коломна</t>
  </si>
  <si>
    <t>Колпино</t>
  </si>
  <si>
    <t>РЦ Колпино</t>
  </si>
  <si>
    <t>Краснодар Индустриальный</t>
  </si>
  <si>
    <t>РЦ Краснодар Индустриальный</t>
  </si>
  <si>
    <t>Кропоткин</t>
  </si>
  <si>
    <t>РЦ Кропоткин</t>
  </si>
  <si>
    <t>Лермонтов</t>
  </si>
  <si>
    <t>РЦ Лермонтов</t>
  </si>
  <si>
    <t>Москва Восток BTR</t>
  </si>
  <si>
    <t>РЦ Москва Восток BTR</t>
  </si>
  <si>
    <t>Мурманск</t>
  </si>
  <si>
    <t>РЦ Мурманск</t>
  </si>
  <si>
    <t>Новосибирск Садовый (новый)</t>
  </si>
  <si>
    <t>РЦ Новосибирск Садовый (новый)</t>
  </si>
  <si>
    <t>Омск</t>
  </si>
  <si>
    <t>РЦ Омск</t>
  </si>
  <si>
    <t>Орел (Хардиково)</t>
  </si>
  <si>
    <t>РЦ Орел (Хардиково)</t>
  </si>
  <si>
    <t>Оренбург Ленина</t>
  </si>
  <si>
    <t>РЦ Оренбург Ленина</t>
  </si>
  <si>
    <t>Пенза</t>
  </si>
  <si>
    <t>РЦ Пенза</t>
  </si>
  <si>
    <t>Первоуральск</t>
  </si>
  <si>
    <t>РЦ Первоуральск</t>
  </si>
  <si>
    <t>Пермь</t>
  </si>
  <si>
    <t>РЦ Пермь</t>
  </si>
  <si>
    <t>Ростов-на-Дону</t>
  </si>
  <si>
    <t>РЦ Ростов-на-Дону</t>
  </si>
  <si>
    <t>Славянск-на-Кубани</t>
  </si>
  <si>
    <t>РЦ Славянск-на-Кубани</t>
  </si>
  <si>
    <t>Смоленск</t>
  </si>
  <si>
    <t>РЦ Смоленск</t>
  </si>
  <si>
    <t>Стерлитамак</t>
  </si>
  <si>
    <t>РЦ Стерлитамак</t>
  </si>
  <si>
    <t>Сургут</t>
  </si>
  <si>
    <t>РЦ Сургут</t>
  </si>
  <si>
    <t>Тамбов</t>
  </si>
  <si>
    <t>РЦ Тамбов</t>
  </si>
  <si>
    <t>Тольятти (новый)</t>
  </si>
  <si>
    <t>РЦ Тольятти (новый)</t>
  </si>
  <si>
    <t>Тула</t>
  </si>
  <si>
    <t>РЦ Тула</t>
  </si>
  <si>
    <t>Тюмень</t>
  </si>
  <si>
    <t>РЦ Тюмень</t>
  </si>
  <si>
    <t>Челябинск BTR</t>
  </si>
  <si>
    <t>РЦ Челябинск BTR</t>
  </si>
  <si>
    <t>Шахты</t>
  </si>
  <si>
    <t>РЦ Шахты</t>
  </si>
  <si>
    <t>Шушары (а)</t>
  </si>
  <si>
    <t>РЦ Шушары (а)</t>
  </si>
  <si>
    <t>Энгельс</t>
  </si>
  <si>
    <t>РЦ Энгельс</t>
  </si>
  <si>
    <t>Ярославль</t>
  </si>
  <si>
    <t>РЦ Ярославль</t>
  </si>
  <si>
    <t>Метка</t>
  </si>
  <si>
    <t>Назначение</t>
  </si>
  <si>
    <t>Начало Таблицы 1</t>
  </si>
  <si>
    <t>Конец Таблицы 1</t>
  </si>
  <si>
    <t>Начало Таблицы 2</t>
  </si>
  <si>
    <t>Конец Таблицы 2</t>
  </si>
  <si>
    <t>template_id</t>
  </si>
  <si>
    <t>dp.checklist.acceptance</t>
  </si>
  <si>
    <t>template_version</t>
  </si>
  <si>
    <t>v.05/01-PILOT.2</t>
  </si>
  <si>
    <t>schema_version</t>
  </si>
  <si>
    <t>1.2-pilot</t>
  </si>
  <si>
    <t>sku_capacity</t>
  </si>
  <si>
    <t>sku_capacity_max</t>
  </si>
  <si>
    <t>visible_base</t>
  </si>
  <si>
    <t>expansion_group_1</t>
  </si>
  <si>
    <t>expansion_group_2</t>
  </si>
  <si>
    <t>layout_mode</t>
  </si>
  <si>
    <t>5+5+2</t>
  </si>
  <si>
    <t>architecture</t>
  </si>
  <si>
    <t>paired-template-expander-outline</t>
  </si>
  <si>
    <t>да</t>
  </si>
  <si>
    <t>нет</t>
  </si>
  <si>
    <r>
      <t>Измерение сахара, Brix</t>
    </r>
    <r>
      <rPr>
        <sz val="11"/>
        <color rgb="FFFF0000"/>
        <rFont val="Calibri"/>
        <family val="2"/>
        <charset val="204"/>
        <scheme val="minor"/>
      </rPr>
      <t>*</t>
    </r>
  </si>
  <si>
    <t>Сделан замер корректно в соответствии с инструкцией и бизнес процессом</t>
  </si>
  <si>
    <t>8.0.1</t>
  </si>
  <si>
    <r>
      <t>Измерение плотности</t>
    </r>
    <r>
      <rPr>
        <sz val="11"/>
        <color rgb="FFFF0000"/>
        <rFont val="Calibri"/>
        <family val="2"/>
        <charset val="204"/>
        <scheme val="minor"/>
      </rPr>
      <t>*</t>
    </r>
  </si>
  <si>
    <r>
      <t xml:space="preserve">Расположен прибор на столе с единицей товара </t>
    </r>
    <r>
      <rPr>
        <sz val="11"/>
        <color rgb="FFFF0000"/>
        <rFont val="Calibri"/>
        <family val="2"/>
        <charset val="204"/>
        <scheme val="minor"/>
      </rPr>
      <t>**</t>
    </r>
  </si>
  <si>
    <t>Отобраные единицы товара для разрушаюшего контроля взвешаны, не менее 2 % от выборки.</t>
  </si>
  <si>
    <t>8.0.2</t>
  </si>
  <si>
    <r>
      <t>Расположен прибор на столе с единицей товара</t>
    </r>
    <r>
      <rPr>
        <sz val="11"/>
        <color rgb="FFC00000"/>
        <rFont val="Calibri"/>
        <family val="2"/>
        <charset val="204"/>
        <scheme val="minor"/>
      </rPr>
      <t>**</t>
    </r>
  </si>
  <si>
    <t>Взвешана каждая категория товара в таре: брак, не стандарт, не калибр, осыпь.</t>
  </si>
  <si>
    <t xml:space="preserve">тайм код </t>
  </si>
  <si>
    <r>
      <rPr>
        <i/>
        <sz val="11"/>
        <color rgb="FFFF0000"/>
        <rFont val="Calibri"/>
        <family val="2"/>
        <charset val="204"/>
        <scheme val="minor"/>
      </rPr>
      <t>**</t>
    </r>
    <r>
      <rPr>
        <i/>
        <sz val="11"/>
        <color theme="1"/>
        <rFont val="Calibri"/>
        <family val="2"/>
        <charset val="204"/>
        <scheme val="minor"/>
      </rPr>
      <t xml:space="preserve"> если в поставке есть 2 и более SKU которые требуют замеры Brix</t>
    </r>
  </si>
  <si>
    <t>Тару без товара положить на весы, обнулить весы с тарой.</t>
  </si>
  <si>
    <t>Тара обнулена на весах.</t>
  </si>
  <si>
    <r>
      <t>Определение сорта / цветности</t>
    </r>
    <r>
      <rPr>
        <sz val="11"/>
        <color rgb="FFC00000"/>
        <rFont val="Calibri"/>
        <family val="2"/>
        <charset val="204"/>
        <scheme val="minor"/>
      </rPr>
      <t>*</t>
    </r>
  </si>
  <si>
    <r>
      <rPr>
        <sz val="11"/>
        <color rgb="FFC00000"/>
        <rFont val="Calibri"/>
        <family val="2"/>
        <charset val="204"/>
        <scheme val="minor"/>
      </rPr>
      <t>*</t>
    </r>
    <r>
      <rPr>
        <sz val="11"/>
        <color theme="1"/>
        <rFont val="Calibri"/>
        <family val="2"/>
        <charset val="204"/>
        <scheme val="minor"/>
      </rPr>
      <t>если это требуется по паспорту качества данного SKU</t>
    </r>
  </si>
  <si>
    <t>Фото в ячейке разрушенного товара</t>
  </si>
  <si>
    <t>выборка</t>
  </si>
  <si>
    <t>общий вид</t>
  </si>
  <si>
    <t>Фото каждой ячейки 
* брак, нестандарт, неклабир и т.д фото ячейки по результатам сотрировки</t>
  </si>
  <si>
    <t>Хештэг/раздел в планшете</t>
  </si>
  <si>
    <t>категории (брак, нестандарт, некалибр и т.д.)</t>
  </si>
  <si>
    <t>фото выкладки товара в ячейках, до раскладки на категории</t>
  </si>
  <si>
    <t>Фото взвешанного товара на весах</t>
  </si>
  <si>
    <t xml:space="preserve">Отобрать единицы для разрушаюшего контроля, взвесить на весах не менее 2 % от выборки. </t>
  </si>
  <si>
    <t>Фото показания прибора с табличкой категории (табличка категорий расположена в кадре).</t>
  </si>
  <si>
    <t>Делаем фото выборки тарных единиц со скотчем, согласно инструкции. 
Если не помещаеться в 1 кадр фото тары со скотчем деалется еще 1 фото оставщихся единиц.</t>
  </si>
  <si>
    <t>Скотч виден на каждой тарной единицы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</si>
</sst>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0;[Red]0"/>
    <numFmt numFmtId="166" formatCode="h:mm;@"/>
  </numFmts>
  <fonts count="3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rgb="FF2F5496"/>
      <name val="Calibri Light"/>
      <family val="2"/>
      <charset val="204"/>
    </font>
    <font>
      <sz val="14"/>
      <color rgb="FF2F5496"/>
      <name val="Calibri Light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theme="9" tint="-0.499984740745262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5" tint="-0.249977111117893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1"/>
      <color theme="5" tint="-0.499984740745262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sz val="11"/>
      <color theme="0" tint="-0.249977111117893"/>
      <name val="Calibri"/>
      <family val="2"/>
      <charset val="204"/>
      <scheme val="minor"/>
    </font>
    <font>
      <i/>
      <sz val="8"/>
      <color rgb="FF808080"/>
      <name val="Calibri"/>
      <family val="2"/>
      <charset val="204"/>
    </font>
    <font>
      <b/>
      <sz val="1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11"/>
      <color rgb="FF1F1F1F"/>
      <name val="Calibri"/>
      <family val="2"/>
      <charset val="204"/>
    </font>
    <font>
      <b/>
      <sz val="11"/>
      <color rgb="FF1F4E78"/>
      <name val="Calibri"/>
      <family val="2"/>
      <charset val="204"/>
    </font>
    <font>
      <b/>
      <sz val="11"/>
      <color rgb="FF385723"/>
      <name val="Calibri"/>
      <family val="2"/>
      <charset val="204"/>
    </font>
    <font>
      <strike/>
      <sz val="11"/>
      <color theme="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i/>
      <sz val="11"/>
      <color rgb="FFFF0000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u/>
      <sz val="11"/>
      <name val="Calibri"/>
      <family val="2"/>
      <charset val="204"/>
      <scheme val="minor"/>
    </font>
    <font>
      <b/>
      <u/>
      <sz val="11"/>
      <name val="Calibri"/>
      <family val="2"/>
      <charset val="204"/>
      <scheme val="minor"/>
    </font>
    <font>
      <b/>
      <i/>
      <sz val="1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4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/>
    <xf numFmtId="0" fontId="21" fillId="0" borderId="0"/>
  </cellStyleXfs>
  <cellXfs count="312">
    <xf numFmtId="0" fontId="0" fillId="0" borderId="0" xfId="0"/>
    <xf numFmtId="0" fontId="0" fillId="0" borderId="0" xfId="0" applyAlignment="1">
      <alignment horizontal="left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top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0" fillId="0" borderId="9" xfId="0" applyBorder="1"/>
    <xf numFmtId="0" fontId="0" fillId="0" borderId="6" xfId="0" applyBorder="1"/>
    <xf numFmtId="0" fontId="10" fillId="0" borderId="0" xfId="0" applyFont="1" applyAlignment="1">
      <alignment horizontal="center" wrapText="1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 wrapText="1"/>
    </xf>
    <xf numFmtId="0" fontId="12" fillId="0" borderId="21" xfId="0" applyFont="1" applyBorder="1" applyAlignment="1">
      <alignment vertical="center" wrapText="1"/>
    </xf>
    <xf numFmtId="0" fontId="12" fillId="0" borderId="23" xfId="0" applyFont="1" applyBorder="1" applyAlignment="1">
      <alignment vertical="center" wrapText="1"/>
    </xf>
    <xf numFmtId="0" fontId="0" fillId="0" borderId="0" xfId="0" applyAlignment="1">
      <alignment wrapText="1"/>
    </xf>
    <xf numFmtId="0" fontId="7" fillId="0" borderId="23" xfId="0" applyFont="1" applyBorder="1" applyAlignment="1">
      <alignment horizontal="left" vertical="center"/>
    </xf>
    <xf numFmtId="0" fontId="12" fillId="0" borderId="24" xfId="0" applyFont="1" applyBorder="1" applyAlignment="1">
      <alignment vertical="center" wrapText="1"/>
    </xf>
    <xf numFmtId="0" fontId="13" fillId="0" borderId="21" xfId="0" applyFont="1" applyBorder="1" applyAlignment="1">
      <alignment horizontal="left" vertical="center" wrapText="1"/>
    </xf>
    <xf numFmtId="0" fontId="12" fillId="0" borderId="21" xfId="0" applyFont="1" applyBorder="1" applyAlignment="1">
      <alignment horizontal="left" vertical="center" wrapText="1"/>
    </xf>
    <xf numFmtId="0" fontId="0" fillId="0" borderId="21" xfId="0" applyBorder="1" applyAlignment="1">
      <alignment wrapText="1"/>
    </xf>
    <xf numFmtId="0" fontId="0" fillId="0" borderId="24" xfId="0" applyBorder="1" applyAlignment="1">
      <alignment wrapText="1"/>
    </xf>
    <xf numFmtId="0" fontId="0" fillId="0" borderId="25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15" fillId="0" borderId="0" xfId="0" applyFont="1"/>
    <xf numFmtId="0" fontId="3" fillId="0" borderId="17" xfId="0" applyFont="1" applyBorder="1"/>
    <xf numFmtId="0" fontId="0" fillId="0" borderId="18" xfId="0" applyBorder="1"/>
    <xf numFmtId="0" fontId="0" fillId="0" borderId="18" xfId="0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17" xfId="0" applyBorder="1"/>
    <xf numFmtId="0" fontId="3" fillId="0" borderId="3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" fontId="3" fillId="4" borderId="11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2" fontId="0" fillId="3" borderId="9" xfId="0" applyNumberFormat="1" applyFill="1" applyBorder="1" applyAlignment="1">
      <alignment horizontal="center" vertical="center"/>
    </xf>
    <xf numFmtId="2" fontId="0" fillId="3" borderId="6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20" fontId="0" fillId="0" borderId="0" xfId="0" applyNumberFormat="1"/>
    <xf numFmtId="20" fontId="0" fillId="5" borderId="19" xfId="0" applyNumberForma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3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49" fontId="0" fillId="0" borderId="0" xfId="0" applyNumberFormat="1" applyAlignment="1">
      <alignment horizontal="center" wrapText="1"/>
    </xf>
    <xf numFmtId="0" fontId="18" fillId="0" borderId="0" xfId="0" applyFont="1"/>
    <xf numFmtId="14" fontId="0" fillId="0" borderId="9" xfId="0" applyNumberFormat="1" applyBorder="1" applyAlignment="1">
      <alignment horizontal="center" vertical="center" wrapText="1"/>
    </xf>
    <xf numFmtId="49" fontId="0" fillId="0" borderId="9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12" fillId="0" borderId="33" xfId="0" applyFont="1" applyBorder="1" applyAlignment="1">
      <alignment vertical="center" wrapText="1"/>
    </xf>
    <xf numFmtId="0" fontId="13" fillId="0" borderId="24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 wrapText="1"/>
    </xf>
    <xf numFmtId="3" fontId="0" fillId="0" borderId="8" xfId="0" applyNumberFormat="1" applyBorder="1" applyAlignment="1">
      <alignment horizontal="center" vertical="center" wrapText="1"/>
    </xf>
    <xf numFmtId="49" fontId="0" fillId="0" borderId="8" xfId="0" applyNumberForma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4" fontId="0" fillId="3" borderId="8" xfId="0" applyNumberFormat="1" applyFill="1" applyBorder="1" applyAlignment="1">
      <alignment horizontal="center" vertical="center"/>
    </xf>
    <xf numFmtId="4" fontId="0" fillId="4" borderId="8" xfId="1" applyNumberFormat="1" applyFont="1" applyFill="1" applyBorder="1" applyAlignment="1">
      <alignment horizontal="center" vertical="center"/>
    </xf>
    <xf numFmtId="0" fontId="0" fillId="0" borderId="8" xfId="1" applyNumberFormat="1" applyFont="1" applyBorder="1" applyAlignment="1">
      <alignment horizontal="center" vertical="center"/>
    </xf>
    <xf numFmtId="4" fontId="0" fillId="5" borderId="8" xfId="1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5" fontId="0" fillId="0" borderId="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25" xfId="0" applyFont="1" applyBorder="1" applyAlignment="1">
      <alignment horizontal="center" vertical="center"/>
    </xf>
    <xf numFmtId="4" fontId="0" fillId="3" borderId="37" xfId="0" applyNumberFormat="1" applyFill="1" applyBorder="1" applyAlignment="1">
      <alignment horizontal="center" vertical="center"/>
    </xf>
    <xf numFmtId="4" fontId="0" fillId="4" borderId="37" xfId="1" applyNumberFormat="1" applyFont="1" applyFill="1" applyBorder="1" applyAlignment="1">
      <alignment horizontal="center" vertical="center"/>
    </xf>
    <xf numFmtId="0" fontId="0" fillId="0" borderId="37" xfId="1" applyNumberFormat="1" applyFont="1" applyBorder="1" applyAlignment="1">
      <alignment horizontal="center" vertical="center"/>
    </xf>
    <xf numFmtId="4" fontId="0" fillId="5" borderId="37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0" borderId="40" xfId="0" applyFont="1" applyBorder="1" applyAlignment="1">
      <alignment vertical="center" wrapText="1"/>
    </xf>
    <xf numFmtId="49" fontId="0" fillId="0" borderId="0" xfId="0" applyNumberFormat="1" applyAlignment="1">
      <alignment horizontal="center"/>
    </xf>
    <xf numFmtId="49" fontId="0" fillId="0" borderId="0" xfId="0" applyNumberFormat="1"/>
    <xf numFmtId="0" fontId="19" fillId="6" borderId="0" xfId="0" applyFont="1" applyFill="1"/>
    <xf numFmtId="49" fontId="19" fillId="6" borderId="0" xfId="0" applyNumberFormat="1" applyFont="1" applyFill="1"/>
    <xf numFmtId="0" fontId="20" fillId="0" borderId="0" xfId="0" applyFont="1"/>
    <xf numFmtId="0" fontId="3" fillId="0" borderId="15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3" fillId="0" borderId="29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1" fillId="0" borderId="9" xfId="2" applyBorder="1" applyAlignment="1">
      <alignment wrapText="1"/>
    </xf>
    <xf numFmtId="0" fontId="0" fillId="0" borderId="9" xfId="0" applyBorder="1" applyAlignment="1">
      <alignment wrapText="1"/>
    </xf>
    <xf numFmtId="0" fontId="22" fillId="7" borderId="8" xfId="0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1" fillId="0" borderId="0" xfId="0" applyFont="1"/>
    <xf numFmtId="0" fontId="1" fillId="0" borderId="5" xfId="0" applyFont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0" borderId="6" xfId="0" applyFont="1" applyBorder="1"/>
    <xf numFmtId="0" fontId="1" fillId="5" borderId="6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" fontId="1" fillId="3" borderId="37" xfId="0" applyNumberFormat="1" applyFont="1" applyFill="1" applyBorder="1" applyAlignment="1">
      <alignment horizontal="center" vertical="center"/>
    </xf>
    <xf numFmtId="4" fontId="1" fillId="4" borderId="37" xfId="1" applyNumberFormat="1" applyFill="1" applyBorder="1" applyAlignment="1">
      <alignment horizontal="center" vertical="center"/>
    </xf>
    <xf numFmtId="0" fontId="1" fillId="0" borderId="37" xfId="1" applyNumberFormat="1" applyBorder="1" applyAlignment="1">
      <alignment horizontal="center" vertical="center"/>
    </xf>
    <xf numFmtId="4" fontId="1" fillId="5" borderId="37" xfId="1" applyNumberFormat="1" applyFill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6" xfId="0" applyFont="1" applyBorder="1"/>
    <xf numFmtId="165" fontId="1" fillId="0" borderId="6" xfId="0" applyNumberFormat="1" applyFont="1" applyBorder="1" applyAlignment="1">
      <alignment horizontal="center" vertical="center"/>
    </xf>
    <xf numFmtId="166" fontId="11" fillId="3" borderId="9" xfId="0" applyNumberFormat="1" applyFont="1" applyFill="1" applyBorder="1" applyAlignment="1">
      <alignment horizontal="center" vertical="center" wrapText="1"/>
    </xf>
    <xf numFmtId="166" fontId="11" fillId="0" borderId="9" xfId="0" applyNumberFormat="1" applyFont="1" applyBorder="1" applyAlignment="1">
      <alignment horizontal="center" vertical="center" wrapText="1"/>
    </xf>
    <xf numFmtId="166" fontId="3" fillId="0" borderId="9" xfId="0" applyNumberFormat="1" applyFont="1" applyBorder="1" applyAlignment="1">
      <alignment horizontal="center" vertical="center" wrapText="1"/>
    </xf>
    <xf numFmtId="166" fontId="3" fillId="0" borderId="9" xfId="0" applyNumberFormat="1" applyFont="1" applyBorder="1" applyAlignment="1">
      <alignment horizontal="center" wrapText="1"/>
    </xf>
    <xf numFmtId="166" fontId="1" fillId="0" borderId="0" xfId="0" applyNumberFormat="1" applyFont="1" applyAlignment="1">
      <alignment wrapText="1"/>
    </xf>
    <xf numFmtId="166" fontId="11" fillId="3" borderId="6" xfId="0" applyNumberFormat="1" applyFont="1" applyFill="1" applyBorder="1" applyAlignment="1">
      <alignment horizontal="center" vertical="center" wrapText="1"/>
    </xf>
    <xf numFmtId="0" fontId="1" fillId="0" borderId="39" xfId="0" applyFont="1" applyBorder="1"/>
    <xf numFmtId="166" fontId="3" fillId="0" borderId="37" xfId="0" applyNumberFormat="1" applyFont="1" applyBorder="1" applyAlignment="1">
      <alignment horizontal="center"/>
    </xf>
    <xf numFmtId="166" fontId="3" fillId="0" borderId="26" xfId="0" applyNumberFormat="1" applyFont="1" applyBorder="1" applyAlignment="1">
      <alignment horizontal="center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7" xfId="0" applyFont="1" applyBorder="1"/>
    <xf numFmtId="166" fontId="3" fillId="0" borderId="18" xfId="0" applyNumberFormat="1" applyFont="1" applyBorder="1" applyAlignment="1">
      <alignment horizontal="center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25" xfId="0" applyFont="1" applyBorder="1"/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/>
    <xf numFmtId="0" fontId="1" fillId="0" borderId="27" xfId="0" applyFont="1" applyBorder="1"/>
    <xf numFmtId="166" fontId="16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20" fontId="1" fillId="0" borderId="0" xfId="0" applyNumberFormat="1" applyFont="1" applyAlignment="1">
      <alignment horizontal="center"/>
    </xf>
    <xf numFmtId="0" fontId="1" fillId="0" borderId="9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3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0" xfId="0"/>
    <xf numFmtId="0" fontId="0" fillId="0" borderId="2" xfId="0" applyBorder="1" applyAlignment="1">
      <alignment wrapText="1"/>
    </xf>
    <xf numFmtId="0" fontId="0" fillId="0" borderId="0" xfId="0" applyBorder="1" applyAlignment="1">
      <alignment horizontal="left" vertical="center" wrapText="1"/>
    </xf>
    <xf numFmtId="0" fontId="1" fillId="0" borderId="30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31" xfId="0" applyBorder="1"/>
    <xf numFmtId="0" fontId="0" fillId="0" borderId="0" xfId="0"/>
    <xf numFmtId="0" fontId="3" fillId="0" borderId="18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6" fontId="11" fillId="0" borderId="9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166" fontId="3" fillId="0" borderId="8" xfId="0" applyNumberFormat="1" applyFont="1" applyBorder="1" applyAlignment="1">
      <alignment horizontal="center" wrapText="1"/>
    </xf>
    <xf numFmtId="49" fontId="25" fillId="0" borderId="8" xfId="0" applyNumberFormat="1" applyFont="1" applyFill="1" applyBorder="1" applyAlignment="1">
      <alignment horizontal="center" vertical="center"/>
    </xf>
    <xf numFmtId="49" fontId="25" fillId="0" borderId="9" xfId="0" applyNumberFormat="1" applyFont="1" applyFill="1" applyBorder="1" applyAlignment="1">
      <alignment horizontal="center" vertical="center"/>
    </xf>
    <xf numFmtId="49" fontId="25" fillId="0" borderId="6" xfId="0" applyNumberFormat="1" applyFont="1" applyFill="1" applyBorder="1" applyAlignment="1">
      <alignment horizontal="center" vertical="center"/>
    </xf>
    <xf numFmtId="164" fontId="0" fillId="5" borderId="18" xfId="0" applyNumberFormat="1" applyFill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9" fillId="0" borderId="1" xfId="0" applyFont="1" applyBorder="1" applyAlignment="1">
      <alignment horizontal="left"/>
    </xf>
    <xf numFmtId="0" fontId="28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top"/>
    </xf>
    <xf numFmtId="0" fontId="29" fillId="0" borderId="0" xfId="0" applyFont="1" applyAlignment="1">
      <alignment horizontal="left" vertical="center" wrapText="1"/>
    </xf>
    <xf numFmtId="0" fontId="2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29" fillId="0" borderId="0" xfId="0" applyFont="1" applyAlignment="1">
      <alignment horizontal="left" vertical="center"/>
    </xf>
    <xf numFmtId="0" fontId="9" fillId="0" borderId="1" xfId="0" applyFont="1" applyBorder="1" applyAlignment="1">
      <alignment horizontal="left" vertical="top"/>
    </xf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9" fillId="0" borderId="1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/>
    </xf>
    <xf numFmtId="0" fontId="9" fillId="0" borderId="2" xfId="0" applyFont="1" applyBorder="1" applyAlignment="1">
      <alignment horizontal="left" vertical="top"/>
    </xf>
    <xf numFmtId="0" fontId="2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31" fillId="0" borderId="0" xfId="0" applyFont="1" applyAlignment="1">
      <alignment horizontal="center" vertical="top"/>
    </xf>
    <xf numFmtId="0" fontId="9" fillId="0" borderId="0" xfId="0" applyFont="1" applyAlignment="1">
      <alignment horizontal="center" vertical="center" wrapText="1"/>
    </xf>
    <xf numFmtId="0" fontId="9" fillId="0" borderId="0" xfId="0" applyFont="1" applyBorder="1" applyAlignment="1">
      <alignment horizontal="left"/>
    </xf>
    <xf numFmtId="0" fontId="9" fillId="0" borderId="0" xfId="0" applyFont="1" applyBorder="1" applyAlignment="1">
      <alignment horizontal="left" vertical="top"/>
    </xf>
    <xf numFmtId="0" fontId="9" fillId="0" borderId="1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horizontal="left" vertical="center" wrapText="1"/>
    </xf>
    <xf numFmtId="0" fontId="9" fillId="0" borderId="0" xfId="0" applyFont="1" applyFill="1" applyBorder="1" applyAlignment="1">
      <alignment horizontal="left" vertical="center" wrapText="1"/>
    </xf>
    <xf numFmtId="0" fontId="29" fillId="0" borderId="0" xfId="0" applyFont="1" applyFill="1" applyAlignment="1">
      <alignment horizontal="left" vertical="center"/>
    </xf>
    <xf numFmtId="0" fontId="29" fillId="0" borderId="0" xfId="0" applyFont="1" applyAlignment="1">
      <alignment horizontal="left" vertical="top" wrapText="1"/>
    </xf>
    <xf numFmtId="0" fontId="9" fillId="0" borderId="1" xfId="0" applyFont="1" applyBorder="1" applyAlignment="1">
      <alignment wrapText="1"/>
    </xf>
    <xf numFmtId="0" fontId="29" fillId="0" borderId="2" xfId="0" applyFont="1" applyBorder="1" applyAlignment="1">
      <alignment horizontal="left" vertical="center" wrapText="1"/>
    </xf>
    <xf numFmtId="0" fontId="9" fillId="0" borderId="0" xfId="0" applyFont="1" applyFill="1" applyAlignment="1">
      <alignment horizontal="left" vertical="center" wrapText="1"/>
    </xf>
    <xf numFmtId="0" fontId="0" fillId="0" borderId="2" xfId="0" applyFill="1" applyBorder="1" applyAlignment="1">
      <alignment wrapText="1"/>
    </xf>
    <xf numFmtId="0" fontId="0" fillId="0" borderId="0" xfId="0" applyFill="1" applyAlignment="1">
      <alignment wrapText="1"/>
    </xf>
    <xf numFmtId="0" fontId="9" fillId="0" borderId="0" xfId="0" applyFont="1" applyFill="1" applyAlignment="1">
      <alignment horizontal="left" vertical="center"/>
    </xf>
    <xf numFmtId="0" fontId="9" fillId="0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top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 vertical="center" wrapText="1"/>
    </xf>
    <xf numFmtId="0" fontId="0" fillId="0" borderId="31" xfId="0" applyBorder="1"/>
    <xf numFmtId="0" fontId="0" fillId="0" borderId="34" xfId="0" applyBorder="1"/>
    <xf numFmtId="0" fontId="3" fillId="0" borderId="9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1" fillId="0" borderId="12" xfId="0" applyFont="1" applyBorder="1" applyAlignment="1">
      <alignment horizontal="center" vertical="center"/>
    </xf>
    <xf numFmtId="0" fontId="0" fillId="0" borderId="32" xfId="0" applyBorder="1"/>
    <xf numFmtId="0" fontId="3" fillId="0" borderId="12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22" xfId="0" applyBorder="1"/>
    <xf numFmtId="0" fontId="0" fillId="0" borderId="6" xfId="0" applyBorder="1" applyAlignment="1">
      <alignment horizontal="center" vertical="center"/>
    </xf>
    <xf numFmtId="0" fontId="0" fillId="0" borderId="36" xfId="0" applyBorder="1"/>
    <xf numFmtId="0" fontId="23" fillId="9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" fillId="0" borderId="29" xfId="0" applyFont="1" applyBorder="1" applyAlignment="1">
      <alignment horizontal="center" vertical="center" wrapText="1"/>
    </xf>
    <xf numFmtId="0" fontId="0" fillId="0" borderId="35" xfId="0" applyBorder="1"/>
    <xf numFmtId="0" fontId="1" fillId="0" borderId="37" xfId="0" applyFont="1" applyBorder="1" applyAlignment="1">
      <alignment horizontal="center" vertical="center" wrapText="1"/>
    </xf>
    <xf numFmtId="0" fontId="0" fillId="0" borderId="26" xfId="0" applyBorder="1"/>
    <xf numFmtId="0" fontId="0" fillId="0" borderId="44" xfId="0" applyBorder="1"/>
    <xf numFmtId="0" fontId="0" fillId="0" borderId="8" xfId="0" applyBorder="1" applyAlignment="1">
      <alignment horizontal="left" vertical="center" wrapText="1"/>
    </xf>
    <xf numFmtId="0" fontId="0" fillId="0" borderId="2" xfId="0" applyBorder="1"/>
    <xf numFmtId="0" fontId="0" fillId="0" borderId="43" xfId="0" applyBorder="1"/>
    <xf numFmtId="0" fontId="1" fillId="0" borderId="42" xfId="0" applyFont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16" fillId="0" borderId="0" xfId="0" applyFont="1" applyAlignment="1">
      <alignment horizontal="center" wrapText="1"/>
    </xf>
    <xf numFmtId="0" fontId="3" fillId="0" borderId="6" xfId="0" applyFont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41" xfId="0" applyBorder="1"/>
    <xf numFmtId="0" fontId="3" fillId="0" borderId="28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8" xfId="0" applyBorder="1"/>
    <xf numFmtId="0" fontId="1" fillId="0" borderId="8" xfId="0" applyFont="1" applyBorder="1" applyAlignment="1">
      <alignment horizontal="left" vertical="center" wrapText="1"/>
    </xf>
    <xf numFmtId="0" fontId="0" fillId="0" borderId="3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6" xfId="0" applyBorder="1" applyAlignment="1">
      <alignment horizontal="left" vertical="center" wrapText="1"/>
    </xf>
    <xf numFmtId="0" fontId="24" fillId="10" borderId="0" xfId="0" applyFont="1" applyFill="1" applyAlignment="1">
      <alignment horizontal="center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center" vertical="center"/>
    </xf>
    <xf numFmtId="0" fontId="14" fillId="0" borderId="9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center" vertical="center" wrapText="1"/>
    </xf>
    <xf numFmtId="0" fontId="0" fillId="0" borderId="45" xfId="0" applyBorder="1"/>
    <xf numFmtId="0" fontId="3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left" vertical="center" wrapText="1"/>
    </xf>
    <xf numFmtId="0" fontId="12" fillId="0" borderId="31" xfId="0" applyFont="1" applyBorder="1"/>
    <xf numFmtId="0" fontId="12" fillId="0" borderId="34" xfId="0" applyFont="1" applyBorder="1"/>
    <xf numFmtId="0" fontId="0" fillId="0" borderId="2" xfId="0" applyBorder="1" applyAlignment="1">
      <alignment wrapText="1"/>
    </xf>
    <xf numFmtId="0" fontId="0" fillId="0" borderId="4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47" xfId="0" applyBorder="1"/>
    <xf numFmtId="0" fontId="0" fillId="0" borderId="46" xfId="0" applyBorder="1" applyAlignment="1">
      <alignment horizontal="left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0" fillId="0" borderId="30" xfId="0" applyFill="1" applyBorder="1" applyAlignment="1">
      <alignment horizontal="left" vertical="center" wrapText="1"/>
    </xf>
    <xf numFmtId="0" fontId="0" fillId="0" borderId="31" xfId="0" applyFill="1" applyBorder="1" applyAlignment="1">
      <alignment horizontal="left" vertical="center" wrapText="1"/>
    </xf>
    <xf numFmtId="0" fontId="0" fillId="0" borderId="32" xfId="0" applyFill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0" fontId="0" fillId="0" borderId="31" xfId="0" applyFill="1" applyBorder="1"/>
    <xf numFmtId="0" fontId="0" fillId="0" borderId="34" xfId="0" applyFill="1" applyBorder="1"/>
    <xf numFmtId="0" fontId="0" fillId="0" borderId="30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1">
    <dxf>
      <fill>
        <patternFill patternType="solid">
          <f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75"/>
  <sheetViews>
    <sheetView showGridLines="0" zoomScale="70" zoomScaleNormal="70" zoomScaleSheetLayoutView="80" workbookViewId="0">
      <selection activeCell="E16" sqref="E16"/>
    </sheetView>
  </sheetViews>
  <sheetFormatPr defaultRowHeight="14.25" outlineLevelRow="1" outlineLevelCol="1" x14ac:dyDescent="0.45"/>
  <cols>
    <col min="1" max="2" width="5.46484375" style="1" customWidth="1"/>
    <col min="3" max="3" width="24.796875" style="1" customWidth="1"/>
    <col min="4" max="4" width="20" style="1" customWidth="1" outlineLevel="1"/>
    <col min="5" max="5" width="80.796875" style="1" customWidth="1"/>
    <col min="6" max="6" width="56.06640625" style="37" customWidth="1"/>
    <col min="7" max="7" width="16.265625" style="188" customWidth="1"/>
  </cols>
  <sheetData>
    <row r="1" spans="1:7" ht="18" customHeight="1" x14ac:dyDescent="0.45">
      <c r="A1" s="227" t="s">
        <v>0</v>
      </c>
      <c r="B1" s="228"/>
      <c r="C1" s="228"/>
    </row>
    <row r="2" spans="1:7" ht="18" customHeight="1" x14ac:dyDescent="0.45">
      <c r="A2" s="2"/>
      <c r="B2" s="2"/>
      <c r="C2" s="2"/>
    </row>
    <row r="3" spans="1:7" s="226" customFormat="1" ht="29.75" customHeight="1" x14ac:dyDescent="0.45">
      <c r="A3" s="310" t="s">
        <v>1</v>
      </c>
      <c r="B3" s="231"/>
      <c r="C3" s="231"/>
      <c r="D3" s="107" t="s">
        <v>2</v>
      </c>
      <c r="E3" s="107" t="s">
        <v>3</v>
      </c>
      <c r="F3" s="107" t="s">
        <v>4</v>
      </c>
      <c r="G3" s="311" t="s">
        <v>309</v>
      </c>
    </row>
    <row r="4" spans="1:7" x14ac:dyDescent="0.45">
      <c r="C4" s="3"/>
      <c r="G4" s="189"/>
    </row>
    <row r="5" spans="1:7" x14ac:dyDescent="0.45">
      <c r="A5" s="6" t="s">
        <v>5</v>
      </c>
      <c r="B5" s="6"/>
      <c r="C5" s="115" t="s">
        <v>6</v>
      </c>
      <c r="D5" s="4"/>
      <c r="E5" s="115" t="s">
        <v>7</v>
      </c>
      <c r="F5" s="115"/>
    </row>
    <row r="6" spans="1:7" x14ac:dyDescent="0.45">
      <c r="A6" s="7"/>
      <c r="B6" s="7"/>
      <c r="C6" s="108"/>
      <c r="E6" s="108" t="s">
        <v>8</v>
      </c>
      <c r="F6" s="37" t="s">
        <v>9</v>
      </c>
    </row>
    <row r="7" spans="1:7" ht="28.5" customHeight="1" outlineLevel="1" x14ac:dyDescent="0.45">
      <c r="A7" s="8" t="s">
        <v>10</v>
      </c>
      <c r="B7" s="8"/>
      <c r="C7" s="55" t="s">
        <v>11</v>
      </c>
      <c r="D7" s="9"/>
      <c r="E7" s="55" t="s">
        <v>12</v>
      </c>
      <c r="F7" s="10"/>
    </row>
    <row r="8" spans="1:7" x14ac:dyDescent="0.45">
      <c r="A8" s="8"/>
      <c r="B8" s="8"/>
      <c r="C8" s="55"/>
      <c r="D8" s="9"/>
      <c r="E8" s="55"/>
      <c r="F8" s="10"/>
      <c r="G8" s="189"/>
    </row>
    <row r="9" spans="1:7" ht="28.5" customHeight="1" x14ac:dyDescent="0.45">
      <c r="A9" s="190" t="s">
        <v>13</v>
      </c>
      <c r="B9" s="190"/>
      <c r="C9" s="191" t="s">
        <v>14</v>
      </c>
      <c r="D9" s="190"/>
      <c r="E9" s="190" t="s">
        <v>15</v>
      </c>
      <c r="F9" s="192" t="s">
        <v>16</v>
      </c>
    </row>
    <row r="10" spans="1:7" x14ac:dyDescent="0.45">
      <c r="A10" s="193"/>
      <c r="B10" s="193"/>
      <c r="C10" s="194"/>
      <c r="D10" s="194"/>
      <c r="E10" s="195" t="s">
        <v>17</v>
      </c>
      <c r="F10" s="11"/>
      <c r="G10" s="189"/>
    </row>
    <row r="11" spans="1:7" ht="31.5" customHeight="1" x14ac:dyDescent="0.45">
      <c r="A11" s="196" t="s">
        <v>18</v>
      </c>
      <c r="B11" s="196"/>
      <c r="C11" s="197" t="s">
        <v>19</v>
      </c>
      <c r="D11" s="192"/>
      <c r="E11" s="197" t="s">
        <v>20</v>
      </c>
      <c r="F11" s="197"/>
    </row>
    <row r="12" spans="1:7" ht="57" x14ac:dyDescent="0.45">
      <c r="A12" s="198"/>
      <c r="B12" s="198"/>
      <c r="C12" s="199"/>
      <c r="D12" s="11"/>
      <c r="E12" s="200" t="s">
        <v>21</v>
      </c>
      <c r="F12" s="221" t="s">
        <v>315</v>
      </c>
      <c r="G12" s="222" t="s">
        <v>306</v>
      </c>
    </row>
    <row r="13" spans="1:7" x14ac:dyDescent="0.45">
      <c r="A13" s="196" t="s">
        <v>22</v>
      </c>
      <c r="B13" s="196"/>
      <c r="C13" s="197" t="s">
        <v>23</v>
      </c>
      <c r="D13" s="201"/>
      <c r="E13" s="197" t="s">
        <v>24</v>
      </c>
      <c r="F13" s="213"/>
      <c r="G13" s="223"/>
    </row>
    <row r="14" spans="1:7" x14ac:dyDescent="0.45">
      <c r="A14" s="193"/>
      <c r="B14" s="193"/>
      <c r="C14" s="194"/>
      <c r="D14" s="194"/>
      <c r="E14" s="200" t="s">
        <v>21</v>
      </c>
      <c r="F14" s="224" t="s">
        <v>9</v>
      </c>
      <c r="G14" s="222"/>
    </row>
    <row r="15" spans="1:7" ht="28.5" customHeight="1" x14ac:dyDescent="0.45">
      <c r="A15" s="196" t="s">
        <v>25</v>
      </c>
      <c r="B15" s="196"/>
      <c r="C15" s="197" t="s">
        <v>26</v>
      </c>
      <c r="D15" s="201"/>
      <c r="E15" s="197" t="s">
        <v>27</v>
      </c>
      <c r="F15" s="213"/>
      <c r="G15" s="223"/>
    </row>
    <row r="16" spans="1:7" x14ac:dyDescent="0.45">
      <c r="A16" s="193"/>
      <c r="B16" s="193"/>
      <c r="C16" s="194"/>
      <c r="D16" s="194"/>
      <c r="E16" s="200" t="s">
        <v>21</v>
      </c>
      <c r="F16" s="224" t="s">
        <v>9</v>
      </c>
      <c r="G16" s="222"/>
    </row>
    <row r="17" spans="1:7" x14ac:dyDescent="0.45">
      <c r="A17" s="192" t="s">
        <v>28</v>
      </c>
      <c r="B17" s="192"/>
      <c r="C17" s="192" t="s">
        <v>29</v>
      </c>
      <c r="D17" s="201"/>
      <c r="E17" s="197" t="s">
        <v>30</v>
      </c>
      <c r="F17" s="213"/>
      <c r="G17" s="223"/>
    </row>
    <row r="18" spans="1:7" x14ac:dyDescent="0.45">
      <c r="A18" s="11"/>
      <c r="B18" s="11"/>
      <c r="C18" s="11"/>
      <c r="D18" s="194"/>
      <c r="E18" s="199" t="s">
        <v>31</v>
      </c>
      <c r="F18" s="224"/>
      <c r="G18" s="223"/>
    </row>
    <row r="19" spans="1:7" x14ac:dyDescent="0.45">
      <c r="A19" s="11"/>
      <c r="B19" s="11"/>
      <c r="C19" s="11"/>
      <c r="D19" s="194"/>
      <c r="E19" s="199" t="s">
        <v>32</v>
      </c>
      <c r="F19" s="224"/>
      <c r="G19" s="223"/>
    </row>
    <row r="20" spans="1:7" x14ac:dyDescent="0.45">
      <c r="A20" s="11"/>
      <c r="B20" s="11"/>
      <c r="C20" s="11"/>
      <c r="D20" s="194"/>
      <c r="E20" s="199" t="s">
        <v>33</v>
      </c>
      <c r="F20" s="224"/>
      <c r="G20" s="223"/>
    </row>
    <row r="21" spans="1:7" x14ac:dyDescent="0.45">
      <c r="A21" s="11"/>
      <c r="B21" s="11"/>
      <c r="C21" s="11"/>
      <c r="D21" s="194"/>
      <c r="E21" s="195" t="s">
        <v>21</v>
      </c>
      <c r="F21" s="224" t="s">
        <v>34</v>
      </c>
      <c r="G21" s="223"/>
    </row>
    <row r="22" spans="1:7" x14ac:dyDescent="0.45">
      <c r="A22" s="11"/>
      <c r="B22" s="11"/>
      <c r="C22" s="11"/>
      <c r="D22" s="194"/>
      <c r="E22" s="199" t="s">
        <v>35</v>
      </c>
      <c r="F22" s="224"/>
      <c r="G22" s="223"/>
    </row>
    <row r="23" spans="1:7" x14ac:dyDescent="0.45">
      <c r="A23" s="193"/>
      <c r="B23" s="193"/>
      <c r="C23" s="194"/>
      <c r="D23" s="194"/>
      <c r="E23" s="200" t="s">
        <v>21</v>
      </c>
      <c r="F23" s="221" t="s">
        <v>311</v>
      </c>
      <c r="G23" s="223" t="s">
        <v>307</v>
      </c>
    </row>
    <row r="24" spans="1:7" x14ac:dyDescent="0.45">
      <c r="A24" s="193"/>
      <c r="B24" s="193"/>
      <c r="C24" s="194"/>
      <c r="D24" s="194"/>
      <c r="E24" s="202" t="s">
        <v>36</v>
      </c>
      <c r="F24" s="224"/>
      <c r="G24" s="223"/>
    </row>
    <row r="25" spans="1:7" ht="16.899999999999999" customHeight="1" x14ac:dyDescent="0.45">
      <c r="A25" s="193"/>
      <c r="B25" s="193"/>
      <c r="C25" s="194"/>
      <c r="D25" s="194"/>
      <c r="E25" s="203" t="s">
        <v>37</v>
      </c>
      <c r="F25" s="224"/>
      <c r="G25" s="222"/>
    </row>
    <row r="26" spans="1:7" ht="42.75" customHeight="1" x14ac:dyDescent="0.45">
      <c r="A26" s="192" t="s">
        <v>38</v>
      </c>
      <c r="B26" s="192"/>
      <c r="C26" s="197" t="s">
        <v>39</v>
      </c>
      <c r="D26" s="204" t="s">
        <v>40</v>
      </c>
      <c r="E26" s="197" t="s">
        <v>41</v>
      </c>
      <c r="F26" s="213"/>
      <c r="G26" s="223"/>
    </row>
    <row r="27" spans="1:7" x14ac:dyDescent="0.45">
      <c r="A27" s="193"/>
      <c r="B27" s="193"/>
      <c r="C27" s="194"/>
      <c r="D27" s="194"/>
      <c r="E27" s="11" t="s">
        <v>42</v>
      </c>
      <c r="F27" s="224"/>
      <c r="G27" s="223"/>
    </row>
    <row r="28" spans="1:7" ht="15.5" customHeight="1" x14ac:dyDescent="0.45">
      <c r="A28" s="205"/>
      <c r="B28" s="205"/>
      <c r="C28" s="206"/>
      <c r="D28" s="206"/>
      <c r="E28" s="207" t="s">
        <v>21</v>
      </c>
      <c r="F28" s="225" t="s">
        <v>9</v>
      </c>
      <c r="G28" s="222"/>
    </row>
    <row r="29" spans="1:7" ht="15.5" customHeight="1" x14ac:dyDescent="0.45">
      <c r="A29" s="193"/>
      <c r="B29" s="193"/>
      <c r="C29" s="194"/>
      <c r="D29" s="194"/>
      <c r="E29" s="209" t="s">
        <v>43</v>
      </c>
      <c r="F29" s="224"/>
      <c r="G29" s="222"/>
    </row>
    <row r="30" spans="1:7" ht="28.5" customHeight="1" x14ac:dyDescent="0.45">
      <c r="A30" s="192" t="s">
        <v>44</v>
      </c>
      <c r="B30" s="192"/>
      <c r="C30" s="197" t="s">
        <v>45</v>
      </c>
      <c r="D30" s="201"/>
      <c r="E30" s="197" t="s">
        <v>46</v>
      </c>
      <c r="F30" s="213"/>
      <c r="G30" s="223"/>
    </row>
    <row r="31" spans="1:7" ht="24.6" customHeight="1" x14ac:dyDescent="0.45">
      <c r="A31" s="11"/>
      <c r="B31" s="11"/>
      <c r="C31" s="199"/>
      <c r="D31" s="194"/>
      <c r="E31" s="202" t="s">
        <v>47</v>
      </c>
      <c r="F31" s="224"/>
      <c r="G31" s="223"/>
    </row>
    <row r="32" spans="1:7" ht="24.6" customHeight="1" x14ac:dyDescent="0.45">
      <c r="A32" s="11"/>
      <c r="B32" s="11"/>
      <c r="C32" s="199"/>
      <c r="D32" s="194"/>
      <c r="E32" s="210" t="s">
        <v>48</v>
      </c>
      <c r="F32" s="224"/>
      <c r="G32" s="223"/>
    </row>
    <row r="33" spans="1:7" ht="71.25" customHeight="1" x14ac:dyDescent="0.45">
      <c r="A33" s="193"/>
      <c r="B33" s="193"/>
      <c r="C33" s="194"/>
      <c r="D33" s="194"/>
      <c r="E33" s="199" t="s">
        <v>49</v>
      </c>
      <c r="F33" s="224"/>
      <c r="G33" s="223"/>
    </row>
    <row r="34" spans="1:7" ht="28.5" customHeight="1" x14ac:dyDescent="0.45">
      <c r="A34" s="193"/>
      <c r="B34" s="193"/>
      <c r="C34" s="194"/>
      <c r="D34" s="194"/>
      <c r="E34" s="210" t="s">
        <v>50</v>
      </c>
      <c r="F34" s="224"/>
      <c r="G34" s="223"/>
    </row>
    <row r="35" spans="1:7" ht="42.75" x14ac:dyDescent="0.45">
      <c r="A35" s="211"/>
      <c r="B35" s="211"/>
      <c r="C35" s="212"/>
      <c r="D35" s="194"/>
      <c r="E35" s="200" t="s">
        <v>21</v>
      </c>
      <c r="F35" s="221" t="s">
        <v>308</v>
      </c>
      <c r="G35" s="222" t="s">
        <v>310</v>
      </c>
    </row>
    <row r="36" spans="1:7" s="176" customFormat="1" ht="24" customHeight="1" x14ac:dyDescent="0.45">
      <c r="A36" s="192" t="s">
        <v>51</v>
      </c>
      <c r="B36" s="192"/>
      <c r="C36" s="197" t="s">
        <v>52</v>
      </c>
      <c r="D36" s="201"/>
      <c r="E36" s="213" t="s">
        <v>301</v>
      </c>
      <c r="F36" s="213"/>
      <c r="G36" s="223"/>
    </row>
    <row r="37" spans="1:7" s="170" customFormat="1" ht="28.9" customHeight="1" x14ac:dyDescent="0.45">
      <c r="A37" s="214"/>
      <c r="B37" s="214"/>
      <c r="C37" s="215"/>
      <c r="D37" s="212"/>
      <c r="E37" s="216" t="s">
        <v>313</v>
      </c>
      <c r="F37" s="216" t="s">
        <v>312</v>
      </c>
      <c r="G37" s="223"/>
    </row>
    <row r="38" spans="1:7" s="176" customFormat="1" x14ac:dyDescent="0.45">
      <c r="A38" s="214"/>
      <c r="B38" s="214"/>
      <c r="C38" s="215"/>
      <c r="D38" s="212"/>
      <c r="E38" s="217" t="s">
        <v>21</v>
      </c>
      <c r="F38" s="216"/>
      <c r="G38" s="223"/>
    </row>
    <row r="39" spans="1:7" ht="57" customHeight="1" x14ac:dyDescent="0.45">
      <c r="A39" s="214"/>
      <c r="B39" s="214"/>
      <c r="C39" s="215"/>
      <c r="D39" s="212"/>
      <c r="E39" s="215" t="s">
        <v>53</v>
      </c>
      <c r="F39" s="216" t="s">
        <v>305</v>
      </c>
      <c r="G39" s="223"/>
    </row>
    <row r="40" spans="1:7" ht="28.5" customHeight="1" x14ac:dyDescent="0.45">
      <c r="A40" s="11"/>
      <c r="B40" s="11"/>
      <c r="C40" s="193"/>
      <c r="D40" s="194"/>
      <c r="E40" s="200" t="s">
        <v>21</v>
      </c>
      <c r="F40" s="221" t="s">
        <v>54</v>
      </c>
      <c r="G40" s="223"/>
    </row>
    <row r="41" spans="1:7" ht="28.5" customHeight="1" x14ac:dyDescent="0.45">
      <c r="A41" s="11"/>
      <c r="B41" s="11"/>
      <c r="C41" s="199" t="s">
        <v>55</v>
      </c>
      <c r="D41" s="218" t="s">
        <v>40</v>
      </c>
      <c r="E41" s="11" t="s">
        <v>56</v>
      </c>
      <c r="F41" s="224"/>
      <c r="G41" s="223"/>
    </row>
    <row r="42" spans="1:7" x14ac:dyDescent="0.45">
      <c r="A42" s="11"/>
      <c r="B42" s="11"/>
      <c r="C42" s="199"/>
      <c r="D42" s="194"/>
      <c r="E42" s="200" t="s">
        <v>21</v>
      </c>
      <c r="F42" s="11" t="s">
        <v>9</v>
      </c>
    </row>
    <row r="43" spans="1:7" ht="28.5" customHeight="1" x14ac:dyDescent="0.45">
      <c r="A43" s="193"/>
      <c r="B43" s="193"/>
      <c r="C43" s="199" t="s">
        <v>57</v>
      </c>
      <c r="D43" s="218" t="s">
        <v>40</v>
      </c>
      <c r="E43" s="11" t="s">
        <v>56</v>
      </c>
      <c r="F43" s="11"/>
    </row>
    <row r="44" spans="1:7" x14ac:dyDescent="0.45">
      <c r="A44" s="193"/>
      <c r="B44" s="193"/>
      <c r="C44" s="199"/>
      <c r="D44" s="218"/>
      <c r="E44" s="200" t="s">
        <v>58</v>
      </c>
      <c r="F44" s="11"/>
    </row>
    <row r="45" spans="1:7" ht="28.5" customHeight="1" x14ac:dyDescent="0.45">
      <c r="A45" s="193"/>
      <c r="B45" s="193"/>
      <c r="C45" s="194"/>
      <c r="D45" s="194"/>
      <c r="E45" s="200" t="s">
        <v>21</v>
      </c>
      <c r="F45" s="199" t="s">
        <v>59</v>
      </c>
    </row>
    <row r="46" spans="1:7" x14ac:dyDescent="0.45">
      <c r="A46" s="193"/>
      <c r="B46" s="193"/>
      <c r="C46" s="194"/>
      <c r="D46" s="194"/>
      <c r="E46" s="202" t="s">
        <v>60</v>
      </c>
      <c r="F46" s="11"/>
      <c r="G46" s="189"/>
    </row>
    <row r="47" spans="1:7" ht="22.5" customHeight="1" x14ac:dyDescent="0.45">
      <c r="A47" s="192" t="s">
        <v>61</v>
      </c>
      <c r="B47" s="192"/>
      <c r="C47" s="197" t="s">
        <v>62</v>
      </c>
      <c r="D47" s="201"/>
      <c r="E47" s="197" t="s">
        <v>63</v>
      </c>
      <c r="F47" s="192"/>
    </row>
    <row r="48" spans="1:7" ht="28.5" customHeight="1" x14ac:dyDescent="0.45">
      <c r="A48" s="193"/>
      <c r="B48" s="193"/>
      <c r="C48" s="194"/>
      <c r="D48" s="194"/>
      <c r="E48" s="200" t="s">
        <v>21</v>
      </c>
      <c r="F48" s="199" t="s">
        <v>314</v>
      </c>
      <c r="G48" s="189"/>
    </row>
    <row r="49" spans="1:7" x14ac:dyDescent="0.45">
      <c r="A49" s="192" t="s">
        <v>64</v>
      </c>
      <c r="B49" s="192"/>
      <c r="C49" s="192" t="s">
        <v>65</v>
      </c>
      <c r="D49" s="201"/>
      <c r="E49" s="219" t="s">
        <v>66</v>
      </c>
      <c r="F49" s="192"/>
    </row>
    <row r="50" spans="1:7" x14ac:dyDescent="0.45">
      <c r="A50" s="11"/>
      <c r="B50" s="11"/>
      <c r="C50" s="11"/>
      <c r="D50" s="194"/>
      <c r="E50" s="194"/>
      <c r="F50" s="11"/>
      <c r="G50" s="189"/>
    </row>
    <row r="51" spans="1:7" ht="28.5" customHeight="1" x14ac:dyDescent="0.45">
      <c r="A51" s="192" t="s">
        <v>67</v>
      </c>
      <c r="B51" s="192"/>
      <c r="C51" s="192" t="s">
        <v>68</v>
      </c>
      <c r="D51" s="201"/>
      <c r="E51" s="219" t="s">
        <v>69</v>
      </c>
      <c r="F51" s="192"/>
    </row>
    <row r="52" spans="1:7" x14ac:dyDescent="0.45">
      <c r="A52" s="11"/>
      <c r="B52" s="11"/>
      <c r="C52" s="11"/>
      <c r="D52" s="194"/>
      <c r="E52" s="194" t="s">
        <v>70</v>
      </c>
      <c r="F52" s="11"/>
    </row>
    <row r="53" spans="1:7" ht="19.5" customHeight="1" x14ac:dyDescent="0.45">
      <c r="A53" s="208"/>
      <c r="B53" s="208"/>
      <c r="C53" s="208"/>
      <c r="D53" s="206"/>
      <c r="E53" s="220" t="s">
        <v>71</v>
      </c>
      <c r="F53" s="208"/>
      <c r="G53" s="189"/>
    </row>
    <row r="54" spans="1:7" x14ac:dyDescent="0.45">
      <c r="C54" s="5"/>
      <c r="D54" s="5"/>
      <c r="E54" s="5"/>
    </row>
    <row r="55" spans="1:7" x14ac:dyDescent="0.45">
      <c r="C55" s="5"/>
      <c r="D55" s="5"/>
    </row>
    <row r="56" spans="1:7" x14ac:dyDescent="0.45">
      <c r="C56" s="5"/>
      <c r="D56" s="5"/>
      <c r="E56" s="5"/>
    </row>
    <row r="57" spans="1:7" x14ac:dyDescent="0.45">
      <c r="C57" s="5"/>
      <c r="D57" s="5"/>
      <c r="E57" s="5"/>
    </row>
    <row r="58" spans="1:7" x14ac:dyDescent="0.45">
      <c r="C58" s="5"/>
      <c r="D58" s="5"/>
      <c r="E58" s="5"/>
    </row>
    <row r="59" spans="1:7" x14ac:dyDescent="0.45">
      <c r="C59" s="5"/>
      <c r="D59" s="5"/>
      <c r="E59" s="5"/>
    </row>
    <row r="60" spans="1:7" x14ac:dyDescent="0.45">
      <c r="C60" s="5"/>
      <c r="D60" s="5"/>
      <c r="E60" s="5"/>
    </row>
    <row r="61" spans="1:7" x14ac:dyDescent="0.45">
      <c r="C61" s="5"/>
      <c r="D61" s="5"/>
      <c r="E61" s="5"/>
    </row>
    <row r="62" spans="1:7" x14ac:dyDescent="0.45">
      <c r="C62" s="5"/>
      <c r="D62" s="5"/>
      <c r="E62" s="5"/>
    </row>
    <row r="63" spans="1:7" x14ac:dyDescent="0.45">
      <c r="C63" s="5"/>
      <c r="D63" s="5"/>
      <c r="E63" s="5"/>
    </row>
    <row r="64" spans="1:7" x14ac:dyDescent="0.45">
      <c r="C64" s="5"/>
      <c r="D64" s="5"/>
      <c r="E64" s="5"/>
    </row>
    <row r="65" spans="3:5" x14ac:dyDescent="0.45">
      <c r="C65" s="5"/>
      <c r="D65" s="5"/>
      <c r="E65" s="5"/>
    </row>
    <row r="66" spans="3:5" x14ac:dyDescent="0.45">
      <c r="C66" s="5"/>
      <c r="D66" s="5"/>
      <c r="E66" s="5"/>
    </row>
    <row r="67" spans="3:5" x14ac:dyDescent="0.45">
      <c r="C67" s="5"/>
      <c r="D67" s="5"/>
      <c r="E67" s="5"/>
    </row>
    <row r="68" spans="3:5" x14ac:dyDescent="0.45">
      <c r="C68" s="5"/>
      <c r="D68" s="5"/>
      <c r="E68" s="5"/>
    </row>
    <row r="69" spans="3:5" x14ac:dyDescent="0.45">
      <c r="C69" s="5"/>
      <c r="D69" s="5"/>
      <c r="E69" s="5"/>
    </row>
    <row r="70" spans="3:5" x14ac:dyDescent="0.45">
      <c r="C70" s="5"/>
      <c r="D70" s="5"/>
      <c r="E70" s="5"/>
    </row>
    <row r="71" spans="3:5" x14ac:dyDescent="0.45">
      <c r="C71" s="5"/>
      <c r="D71" s="5"/>
      <c r="E71" s="5"/>
    </row>
    <row r="72" spans="3:5" x14ac:dyDescent="0.45">
      <c r="C72" s="5"/>
      <c r="D72" s="5"/>
      <c r="E72" s="5"/>
    </row>
    <row r="73" spans="3:5" x14ac:dyDescent="0.45">
      <c r="C73" s="5"/>
      <c r="D73" s="5"/>
      <c r="E73" s="5"/>
    </row>
    <row r="74" spans="3:5" x14ac:dyDescent="0.45">
      <c r="C74" s="5"/>
      <c r="D74" s="5"/>
      <c r="E74" s="5"/>
    </row>
    <row r="75" spans="3:5" x14ac:dyDescent="0.45">
      <c r="C75" s="5"/>
      <c r="D75" s="5"/>
      <c r="E75" s="5"/>
    </row>
  </sheetData>
  <mergeCells count="2">
    <mergeCell ref="A1:C1"/>
    <mergeCell ref="A3:C3"/>
  </mergeCells>
  <pageMargins left="0.25" right="0.25" top="0.75" bottom="0.75" header="0.3" footer="0.3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77"/>
  <sheetViews>
    <sheetView showGridLines="0" tabSelected="1" zoomScale="85" zoomScaleNormal="85" workbookViewId="0">
      <pane xSplit="9" ySplit="4" topLeftCell="J5" activePane="bottomRight" state="frozen"/>
      <selection activeCell="L5" sqref="L5"/>
      <selection pane="topRight" activeCell="L5" sqref="L5"/>
      <selection pane="bottomLeft" activeCell="L5" sqref="L5"/>
      <selection pane="bottomRight" activeCell="E29" sqref="E29:I29"/>
    </sheetView>
  </sheetViews>
  <sheetFormatPr defaultRowHeight="14.25" outlineLevelRow="2" outlineLevelCol="2" x14ac:dyDescent="0.45"/>
  <cols>
    <col min="1" max="1" width="5.1328125" customWidth="1"/>
    <col min="2" max="2" width="7.19921875" customWidth="1"/>
    <col min="3" max="6" width="11.86328125" customWidth="1"/>
    <col min="7" max="7" width="13.33203125" style="43" customWidth="1"/>
    <col min="8" max="8" width="11.86328125" style="12" customWidth="1"/>
    <col min="9" max="27" width="11.86328125" customWidth="1"/>
    <col min="45" max="79" width="9.06640625" style="43" customWidth="1" outlineLevel="1"/>
    <col min="80" max="93" width="13" customWidth="1" outlineLevel="2"/>
    <col min="94" max="94" width="1.9296875" hidden="1" customWidth="1"/>
    <col min="95" max="105" width="2" hidden="1" customWidth="1"/>
  </cols>
  <sheetData>
    <row r="1" spans="1:35" ht="18.399999999999999" customHeight="1" thickBot="1" x14ac:dyDescent="0.5">
      <c r="A1" s="57" t="s">
        <v>72</v>
      </c>
      <c r="B1" s="229" t="s">
        <v>73</v>
      </c>
      <c r="C1" s="230"/>
      <c r="D1" s="230"/>
      <c r="E1" s="230"/>
      <c r="F1" s="230"/>
      <c r="G1" s="231"/>
      <c r="H1" s="232"/>
      <c r="I1" s="43"/>
      <c r="K1" s="13"/>
      <c r="L1" s="13"/>
      <c r="M1" s="13"/>
      <c r="N1" s="13"/>
      <c r="O1" s="13"/>
      <c r="P1" s="13"/>
      <c r="Q1" s="13"/>
      <c r="R1" s="13"/>
      <c r="AD1" s="43"/>
      <c r="AF1" t="s">
        <v>288</v>
      </c>
    </row>
    <row r="2" spans="1:35" ht="43.15" customHeight="1" thickBot="1" x14ac:dyDescent="0.5">
      <c r="A2" s="97" t="s">
        <v>74</v>
      </c>
      <c r="B2" s="298" t="s">
        <v>75</v>
      </c>
      <c r="C2" s="263"/>
      <c r="D2" s="52"/>
      <c r="F2" s="252" t="s">
        <v>76</v>
      </c>
      <c r="G2" s="231"/>
      <c r="H2" s="253" t="str">
        <f>IF($D$5="","ВЫБЕРИТЕ РЦ","РЦ ВЫБРАН")</f>
        <v>ВЫБЕРИТЕ РЦ</v>
      </c>
      <c r="I2" s="230"/>
      <c r="J2" s="282" t="s">
        <v>77</v>
      </c>
      <c r="K2" s="230"/>
      <c r="L2" s="230"/>
      <c r="M2" s="230"/>
      <c r="N2" s="230"/>
      <c r="O2" s="230"/>
      <c r="P2" s="230"/>
      <c r="Q2" s="230"/>
      <c r="R2" s="230"/>
      <c r="T2" s="38" t="s">
        <v>78</v>
      </c>
      <c r="U2" s="38" t="s">
        <v>79</v>
      </c>
      <c r="V2" s="38" t="s">
        <v>79</v>
      </c>
      <c r="X2" s="38" t="s">
        <v>80</v>
      </c>
      <c r="AC2" s="107" t="s">
        <v>81</v>
      </c>
      <c r="AD2" s="43" t="s">
        <v>82</v>
      </c>
      <c r="AF2" t="s">
        <v>289</v>
      </c>
    </row>
    <row r="3" spans="1:35" ht="14.65" customHeight="1" thickBot="1" x14ac:dyDescent="0.5">
      <c r="H3" s="43"/>
      <c r="I3" s="43"/>
      <c r="L3" s="16"/>
      <c r="M3" s="16"/>
      <c r="T3" s="38"/>
      <c r="U3" s="38"/>
      <c r="V3" s="38"/>
      <c r="X3" s="38"/>
      <c r="AC3" s="107" t="s">
        <v>83</v>
      </c>
      <c r="AD3" s="43" t="s">
        <v>84</v>
      </c>
    </row>
    <row r="4" spans="1:35" ht="85.9" customHeight="1" thickBot="1" x14ac:dyDescent="0.5">
      <c r="A4" s="43"/>
      <c r="B4" s="79" t="s">
        <v>85</v>
      </c>
      <c r="C4" s="80" t="s">
        <v>86</v>
      </c>
      <c r="D4" s="80" t="s">
        <v>87</v>
      </c>
      <c r="E4" s="81" t="s">
        <v>88</v>
      </c>
      <c r="F4" s="80" t="s">
        <v>89</v>
      </c>
      <c r="G4" s="80" t="s">
        <v>90</v>
      </c>
      <c r="H4" s="80" t="s">
        <v>91</v>
      </c>
      <c r="I4" s="80" t="s">
        <v>92</v>
      </c>
      <c r="J4" s="80" t="s">
        <v>93</v>
      </c>
      <c r="K4" s="80" t="s">
        <v>94</v>
      </c>
      <c r="L4" s="80" t="s">
        <v>95</v>
      </c>
      <c r="M4" s="100" t="s">
        <v>96</v>
      </c>
      <c r="N4" s="82" t="s">
        <v>97</v>
      </c>
      <c r="O4" s="83" t="s">
        <v>98</v>
      </c>
      <c r="P4" s="100" t="s">
        <v>99</v>
      </c>
      <c r="Q4" s="84" t="s">
        <v>100</v>
      </c>
      <c r="R4" s="100" t="s">
        <v>101</v>
      </c>
      <c r="S4" s="82" t="s">
        <v>102</v>
      </c>
      <c r="T4" s="83" t="s">
        <v>103</v>
      </c>
      <c r="U4" s="100" t="s">
        <v>104</v>
      </c>
      <c r="V4" s="84" t="s">
        <v>105</v>
      </c>
      <c r="W4" s="100" t="s">
        <v>106</v>
      </c>
      <c r="X4" s="100" t="s">
        <v>107</v>
      </c>
      <c r="Y4" s="286" t="s">
        <v>108</v>
      </c>
      <c r="Z4" s="287"/>
      <c r="AA4" s="100" t="s">
        <v>109</v>
      </c>
      <c r="AB4" s="286" t="s">
        <v>110</v>
      </c>
      <c r="AC4" s="287"/>
      <c r="AD4" s="100" t="s">
        <v>111</v>
      </c>
      <c r="AE4" s="100" t="s">
        <v>112</v>
      </c>
      <c r="AF4" s="100" t="s">
        <v>113</v>
      </c>
      <c r="AG4" s="100" t="s">
        <v>114</v>
      </c>
      <c r="AH4" s="100" t="s">
        <v>115</v>
      </c>
      <c r="AI4" s="85" t="s">
        <v>116</v>
      </c>
    </row>
    <row r="5" spans="1:35" ht="74.75" customHeight="1" x14ac:dyDescent="0.45">
      <c r="B5" s="66">
        <v>1</v>
      </c>
      <c r="C5" s="77"/>
      <c r="D5" s="118"/>
      <c r="E5" s="67"/>
      <c r="F5" s="77"/>
      <c r="G5" s="68"/>
      <c r="H5" s="77"/>
      <c r="I5" s="77"/>
      <c r="J5" s="77"/>
      <c r="K5" s="77"/>
      <c r="L5" s="182"/>
      <c r="M5" s="69"/>
      <c r="N5" s="70"/>
      <c r="O5" s="71"/>
      <c r="P5" s="101"/>
      <c r="Q5" s="72"/>
      <c r="R5" s="101">
        <v>3.4</v>
      </c>
      <c r="S5" s="73">
        <f t="shared" ref="S5:S16" si="0">IFERROR(N5*100/M5,0)</f>
        <v>0</v>
      </c>
      <c r="T5" s="74">
        <f t="shared" ref="T5:T16" si="1">IFERROR(O5*100/M5,0)</f>
        <v>0</v>
      </c>
      <c r="U5" s="75">
        <f t="shared" ref="U5:U16" si="2">IFERROR(P5*100/M5,0)</f>
        <v>0</v>
      </c>
      <c r="V5" s="76">
        <f t="shared" ref="V5:V16" si="3">IFERROR(Q5*100/M5,0)</f>
        <v>0</v>
      </c>
      <c r="W5" s="101">
        <f t="shared" ref="W5:W16" si="4">IFERROR(P5*100/M5,0)</f>
        <v>0</v>
      </c>
      <c r="X5" s="101"/>
      <c r="Y5" s="303" t="str">
        <f>_xlfn.TEXTJOIN(", ",TRUE,J65:K70)</f>
        <v/>
      </c>
      <c r="Z5" s="261"/>
      <c r="AA5" s="104"/>
      <c r="AB5" s="288"/>
      <c r="AC5" s="261"/>
      <c r="AD5" s="77">
        <f t="shared" ref="AD5:AD16" si="5">IF(AA5="да",1,0)</f>
        <v>0</v>
      </c>
      <c r="AE5" s="101" t="e">
        <f>CP55+AD5</f>
        <v>#REF!</v>
      </c>
      <c r="AF5" s="77">
        <f>J41+CP40</f>
        <v>0</v>
      </c>
      <c r="AG5" s="78" t="e">
        <f t="shared" ref="AG5:AG16" si="6">IF((AE5+AF5)&gt;0,1,0)</f>
        <v>#REF!</v>
      </c>
      <c r="AH5" s="119" t="str">
        <f>IF(OR(G5="",K57=""),"",K57)</f>
        <v/>
      </c>
      <c r="AI5" s="120" t="str">
        <f t="shared" ref="AI5:AI16" si="7">IF(OR(G5="",$I$74="",$K$58=""),"",$I$74-$K$58)</f>
        <v/>
      </c>
    </row>
    <row r="6" spans="1:35" ht="74.75" customHeight="1" thickBot="1" x14ac:dyDescent="0.5">
      <c r="B6" s="17">
        <v>2</v>
      </c>
      <c r="C6" s="110"/>
      <c r="D6" s="127" t="str">
        <f t="shared" ref="D6:D16" si="8">IF(G6="","",$D$5)</f>
        <v/>
      </c>
      <c r="E6" s="58"/>
      <c r="F6" s="110"/>
      <c r="G6" s="110"/>
      <c r="H6" s="110"/>
      <c r="I6" s="110"/>
      <c r="J6" s="110"/>
      <c r="K6" s="110"/>
      <c r="L6" s="183"/>
      <c r="M6" s="59"/>
      <c r="N6" s="44"/>
      <c r="O6" s="45"/>
      <c r="P6" s="14"/>
      <c r="Q6" s="46"/>
      <c r="R6" s="102">
        <v>3.4</v>
      </c>
      <c r="S6" s="73">
        <f t="shared" si="0"/>
        <v>0</v>
      </c>
      <c r="T6" s="74">
        <f t="shared" si="1"/>
        <v>0</v>
      </c>
      <c r="U6" s="75">
        <f t="shared" si="2"/>
        <v>0</v>
      </c>
      <c r="V6" s="76">
        <f t="shared" si="3"/>
        <v>0</v>
      </c>
      <c r="W6" s="101">
        <f t="shared" si="4"/>
        <v>0</v>
      </c>
      <c r="X6" s="102"/>
      <c r="Y6" s="284" t="str">
        <f>_xlfn.TEXTJOIN(", ",TRUE,Q65:R70)</f>
        <v/>
      </c>
      <c r="Z6" s="235"/>
      <c r="AA6" s="105"/>
      <c r="AB6" s="236"/>
      <c r="AC6" s="235"/>
      <c r="AD6" s="110">
        <f t="shared" si="5"/>
        <v>0</v>
      </c>
      <c r="AE6" s="102" t="e">
        <f>CQ55+AD6</f>
        <v>#REF!</v>
      </c>
      <c r="AF6" s="110">
        <f>Q41+CQ40</f>
        <v>0</v>
      </c>
      <c r="AG6" s="64" t="e">
        <f t="shared" si="6"/>
        <v>#REF!</v>
      </c>
      <c r="AH6" s="121" t="str">
        <f>IF(OR(G6="",R57=""),"",R57)</f>
        <v/>
      </c>
      <c r="AI6" s="122" t="str">
        <f t="shared" si="7"/>
        <v/>
      </c>
    </row>
    <row r="7" spans="1:35" ht="74.75" customHeight="1" thickBot="1" x14ac:dyDescent="0.5">
      <c r="B7" s="17">
        <v>3</v>
      </c>
      <c r="C7" s="110"/>
      <c r="D7" s="127" t="str">
        <f t="shared" si="8"/>
        <v/>
      </c>
      <c r="E7" s="58"/>
      <c r="F7" s="110"/>
      <c r="G7" s="110"/>
      <c r="H7" s="110"/>
      <c r="I7" s="110"/>
      <c r="J7" s="110"/>
      <c r="K7" s="110"/>
      <c r="L7" s="183"/>
      <c r="M7" s="59"/>
      <c r="N7" s="47"/>
      <c r="O7" s="45"/>
      <c r="P7" s="14"/>
      <c r="Q7" s="46"/>
      <c r="R7" s="102">
        <v>3.4</v>
      </c>
      <c r="S7" s="73">
        <f t="shared" si="0"/>
        <v>0</v>
      </c>
      <c r="T7" s="74">
        <f t="shared" si="1"/>
        <v>0</v>
      </c>
      <c r="U7" s="75">
        <f t="shared" si="2"/>
        <v>0</v>
      </c>
      <c r="V7" s="76">
        <f t="shared" si="3"/>
        <v>0</v>
      </c>
      <c r="W7" s="101">
        <f t="shared" si="4"/>
        <v>0</v>
      </c>
      <c r="X7" s="102"/>
      <c r="Y7" s="284" t="str">
        <f>_xlfn.TEXTJOIN(", ",TRUE,X65:Y70)</f>
        <v/>
      </c>
      <c r="Z7" s="235"/>
      <c r="AA7" s="105"/>
      <c r="AB7" s="236"/>
      <c r="AC7" s="235"/>
      <c r="AD7" s="110">
        <f t="shared" si="5"/>
        <v>0</v>
      </c>
      <c r="AE7" s="102" t="e">
        <f>CR55+AD7</f>
        <v>#REF!</v>
      </c>
      <c r="AF7" s="110">
        <f>X41+CR40</f>
        <v>0</v>
      </c>
      <c r="AG7" s="64" t="e">
        <f t="shared" si="6"/>
        <v>#REF!</v>
      </c>
      <c r="AH7" s="121" t="str">
        <f>IF(OR(G7="",Y57=""),"",Y57)</f>
        <v/>
      </c>
      <c r="AI7" s="122" t="str">
        <f t="shared" si="7"/>
        <v/>
      </c>
    </row>
    <row r="8" spans="1:35" ht="74.75" customHeight="1" thickBot="1" x14ac:dyDescent="0.5">
      <c r="B8" s="17">
        <v>4</v>
      </c>
      <c r="C8" s="110"/>
      <c r="D8" s="127" t="str">
        <f t="shared" si="8"/>
        <v/>
      </c>
      <c r="E8" s="58"/>
      <c r="F8" s="110"/>
      <c r="G8" s="110"/>
      <c r="H8" s="110"/>
      <c r="I8" s="110"/>
      <c r="J8" s="110"/>
      <c r="K8" s="110"/>
      <c r="L8" s="183"/>
      <c r="M8" s="59"/>
      <c r="N8" s="47"/>
      <c r="O8" s="45"/>
      <c r="P8" s="14"/>
      <c r="Q8" s="46"/>
      <c r="R8" s="102">
        <v>3.4</v>
      </c>
      <c r="S8" s="73">
        <f t="shared" si="0"/>
        <v>0</v>
      </c>
      <c r="T8" s="74">
        <f t="shared" si="1"/>
        <v>0</v>
      </c>
      <c r="U8" s="75">
        <f t="shared" si="2"/>
        <v>0</v>
      </c>
      <c r="V8" s="76">
        <f t="shared" si="3"/>
        <v>0</v>
      </c>
      <c r="W8" s="101">
        <f t="shared" si="4"/>
        <v>0</v>
      </c>
      <c r="X8" s="102"/>
      <c r="Y8" s="284" t="str">
        <f>_xlfn.TEXTJOIN(", ",TRUE,AE65:AF70)</f>
        <v/>
      </c>
      <c r="Z8" s="235"/>
      <c r="AA8" s="105"/>
      <c r="AB8" s="236"/>
      <c r="AC8" s="235"/>
      <c r="AD8" s="110">
        <f t="shared" si="5"/>
        <v>0</v>
      </c>
      <c r="AE8" s="102" t="e">
        <f>CS55+AD8</f>
        <v>#REF!</v>
      </c>
      <c r="AF8" s="110">
        <f>AE41+CS40</f>
        <v>0</v>
      </c>
      <c r="AG8" s="64" t="e">
        <f t="shared" si="6"/>
        <v>#REF!</v>
      </c>
      <c r="AH8" s="121" t="str">
        <f>IF(OR(G8="",AF57=""),"",AF57)</f>
        <v/>
      </c>
      <c r="AI8" s="122" t="str">
        <f t="shared" si="7"/>
        <v/>
      </c>
    </row>
    <row r="9" spans="1:35" ht="74.75" customHeight="1" thickBot="1" x14ac:dyDescent="0.5">
      <c r="B9" s="18">
        <v>5</v>
      </c>
      <c r="C9" s="106"/>
      <c r="D9" s="127" t="str">
        <f t="shared" si="8"/>
        <v/>
      </c>
      <c r="E9" s="19"/>
      <c r="F9" s="19"/>
      <c r="G9" s="109"/>
      <c r="H9" s="109"/>
      <c r="I9" s="109"/>
      <c r="J9" s="109"/>
      <c r="K9" s="109"/>
      <c r="L9" s="184"/>
      <c r="M9" s="60"/>
      <c r="N9" s="48"/>
      <c r="O9" s="49"/>
      <c r="P9" s="15"/>
      <c r="Q9" s="50"/>
      <c r="R9" s="103">
        <v>3.4</v>
      </c>
      <c r="S9" s="89">
        <f t="shared" si="0"/>
        <v>0</v>
      </c>
      <c r="T9" s="90">
        <f t="shared" si="1"/>
        <v>0</v>
      </c>
      <c r="U9" s="91">
        <f t="shared" si="2"/>
        <v>0</v>
      </c>
      <c r="V9" s="92">
        <f t="shared" si="3"/>
        <v>0</v>
      </c>
      <c r="W9" s="93">
        <f t="shared" si="4"/>
        <v>0</v>
      </c>
      <c r="X9" s="103"/>
      <c r="Y9" s="250" t="str">
        <f>_xlfn.TEXTJOIN(", ",TRUE,AL65:AM70)</f>
        <v/>
      </c>
      <c r="Z9" s="251"/>
      <c r="AA9" s="106"/>
      <c r="AB9" s="266"/>
      <c r="AC9" s="251"/>
      <c r="AD9" s="109">
        <f t="shared" si="5"/>
        <v>0</v>
      </c>
      <c r="AE9" s="103" t="e">
        <f>CT55+AD9</f>
        <v>#REF!</v>
      </c>
      <c r="AF9" s="109">
        <f>AL41+CT40</f>
        <v>0</v>
      </c>
      <c r="AG9" s="65" t="e">
        <f t="shared" si="6"/>
        <v>#REF!</v>
      </c>
      <c r="AH9" s="123" t="str">
        <f>IF(OR(G9="",AM57=""),"",AM57)</f>
        <v/>
      </c>
      <c r="AI9" s="124" t="str">
        <f t="shared" si="7"/>
        <v/>
      </c>
    </row>
    <row r="10" spans="1:35" ht="74.75" hidden="1" customHeight="1" outlineLevel="1" thickBot="1" x14ac:dyDescent="0.5">
      <c r="A10" s="125"/>
      <c r="B10" s="126">
        <v>6</v>
      </c>
      <c r="C10" s="106"/>
      <c r="D10" s="127" t="str">
        <f t="shared" si="8"/>
        <v/>
      </c>
      <c r="E10" s="128"/>
      <c r="F10" s="128"/>
      <c r="G10" s="129"/>
      <c r="H10" s="129"/>
      <c r="I10" s="129"/>
      <c r="J10" s="129"/>
      <c r="K10" s="129"/>
      <c r="L10" s="130"/>
      <c r="M10" s="130"/>
      <c r="N10" s="131"/>
      <c r="O10" s="132"/>
      <c r="P10" s="133"/>
      <c r="Q10" s="134"/>
      <c r="R10" s="135">
        <v>3.4</v>
      </c>
      <c r="S10" s="136">
        <f t="shared" si="0"/>
        <v>0</v>
      </c>
      <c r="T10" s="137">
        <f t="shared" si="1"/>
        <v>0</v>
      </c>
      <c r="U10" s="138">
        <f t="shared" si="2"/>
        <v>0</v>
      </c>
      <c r="V10" s="139">
        <f t="shared" si="3"/>
        <v>0</v>
      </c>
      <c r="W10" s="140">
        <f t="shared" si="4"/>
        <v>0</v>
      </c>
      <c r="X10" s="135"/>
      <c r="Y10" s="250" t="str">
        <f>_xlfn.TEXTJOIN(", ",TRUE,AS65:AT70)</f>
        <v/>
      </c>
      <c r="Z10" s="251"/>
      <c r="AA10" s="106"/>
      <c r="AB10" s="106"/>
      <c r="AC10" s="141"/>
      <c r="AD10" s="129">
        <f t="shared" si="5"/>
        <v>0</v>
      </c>
      <c r="AE10" s="135" t="e">
        <f>CU55+AD10</f>
        <v>#REF!</v>
      </c>
      <c r="AF10" s="129">
        <f>AS41+CU40</f>
        <v>0</v>
      </c>
      <c r="AG10" s="142" t="e">
        <f t="shared" si="6"/>
        <v>#REF!</v>
      </c>
      <c r="AH10" s="123" t="str">
        <f>IF(OR(G10="",AT57=""),"",AT57)</f>
        <v/>
      </c>
      <c r="AI10" s="124" t="str">
        <f t="shared" si="7"/>
        <v/>
      </c>
    </row>
    <row r="11" spans="1:35" ht="74.75" hidden="1" customHeight="1" outlineLevel="1" thickBot="1" x14ac:dyDescent="0.5">
      <c r="A11" s="125"/>
      <c r="B11" s="126">
        <v>7</v>
      </c>
      <c r="C11" s="106"/>
      <c r="D11" s="127" t="str">
        <f t="shared" si="8"/>
        <v/>
      </c>
      <c r="E11" s="128"/>
      <c r="F11" s="128"/>
      <c r="G11" s="129"/>
      <c r="H11" s="129"/>
      <c r="I11" s="129"/>
      <c r="J11" s="129"/>
      <c r="K11" s="129"/>
      <c r="L11" s="130"/>
      <c r="M11" s="130"/>
      <c r="N11" s="131"/>
      <c r="O11" s="132"/>
      <c r="P11" s="133"/>
      <c r="Q11" s="134"/>
      <c r="R11" s="135">
        <v>3.4</v>
      </c>
      <c r="S11" s="136">
        <f t="shared" si="0"/>
        <v>0</v>
      </c>
      <c r="T11" s="137">
        <f t="shared" si="1"/>
        <v>0</v>
      </c>
      <c r="U11" s="138">
        <f t="shared" si="2"/>
        <v>0</v>
      </c>
      <c r="V11" s="139">
        <f t="shared" si="3"/>
        <v>0</v>
      </c>
      <c r="W11" s="140">
        <f t="shared" si="4"/>
        <v>0</v>
      </c>
      <c r="X11" s="135"/>
      <c r="Y11" s="250" t="str">
        <f>_xlfn.TEXTJOIN(", ",TRUE,AZ65:BA70)</f>
        <v/>
      </c>
      <c r="Z11" s="251"/>
      <c r="AA11" s="106"/>
      <c r="AB11" s="106"/>
      <c r="AC11" s="141"/>
      <c r="AD11" s="129">
        <f t="shared" si="5"/>
        <v>0</v>
      </c>
      <c r="AE11" s="135" t="e">
        <f>CV55+AD11</f>
        <v>#REF!</v>
      </c>
      <c r="AF11" s="129">
        <f>AZ41+CV40</f>
        <v>0</v>
      </c>
      <c r="AG11" s="142" t="e">
        <f t="shared" si="6"/>
        <v>#REF!</v>
      </c>
      <c r="AH11" s="123" t="str">
        <f>IF(OR(G11="",BA57=""),"",BA57)</f>
        <v/>
      </c>
      <c r="AI11" s="124" t="str">
        <f t="shared" si="7"/>
        <v/>
      </c>
    </row>
    <row r="12" spans="1:35" ht="74.75" hidden="1" customHeight="1" outlineLevel="1" thickBot="1" x14ac:dyDescent="0.5">
      <c r="A12" s="125"/>
      <c r="B12" s="126">
        <v>8</v>
      </c>
      <c r="C12" s="106"/>
      <c r="D12" s="127" t="str">
        <f t="shared" si="8"/>
        <v/>
      </c>
      <c r="E12" s="128"/>
      <c r="F12" s="128"/>
      <c r="G12" s="129"/>
      <c r="H12" s="129"/>
      <c r="I12" s="129"/>
      <c r="J12" s="129"/>
      <c r="K12" s="129"/>
      <c r="L12" s="130"/>
      <c r="M12" s="130"/>
      <c r="N12" s="131"/>
      <c r="O12" s="132"/>
      <c r="P12" s="133"/>
      <c r="Q12" s="134"/>
      <c r="R12" s="135">
        <v>3.4</v>
      </c>
      <c r="S12" s="136">
        <f t="shared" si="0"/>
        <v>0</v>
      </c>
      <c r="T12" s="137">
        <f t="shared" si="1"/>
        <v>0</v>
      </c>
      <c r="U12" s="138">
        <f t="shared" si="2"/>
        <v>0</v>
      </c>
      <c r="V12" s="139">
        <f t="shared" si="3"/>
        <v>0</v>
      </c>
      <c r="W12" s="140">
        <f t="shared" si="4"/>
        <v>0</v>
      </c>
      <c r="X12" s="135"/>
      <c r="Y12" s="250" t="str">
        <f>_xlfn.TEXTJOIN(", ",TRUE,BG65:BH70)</f>
        <v/>
      </c>
      <c r="Z12" s="251"/>
      <c r="AA12" s="106"/>
      <c r="AB12" s="106"/>
      <c r="AC12" s="141"/>
      <c r="AD12" s="129">
        <f t="shared" si="5"/>
        <v>0</v>
      </c>
      <c r="AE12" s="135" t="e">
        <f>CW55+AD12</f>
        <v>#REF!</v>
      </c>
      <c r="AF12" s="129">
        <f>BG41+CW40</f>
        <v>0</v>
      </c>
      <c r="AG12" s="142" t="e">
        <f t="shared" si="6"/>
        <v>#REF!</v>
      </c>
      <c r="AH12" s="123" t="str">
        <f>IF(OR(G12="",BH57=""),"",BH57)</f>
        <v/>
      </c>
      <c r="AI12" s="124" t="str">
        <f t="shared" si="7"/>
        <v/>
      </c>
    </row>
    <row r="13" spans="1:35" ht="74.75" hidden="1" customHeight="1" outlineLevel="1" thickBot="1" x14ac:dyDescent="0.5">
      <c r="A13" s="125"/>
      <c r="B13" s="126">
        <v>9</v>
      </c>
      <c r="C13" s="106"/>
      <c r="D13" s="127" t="str">
        <f t="shared" si="8"/>
        <v/>
      </c>
      <c r="E13" s="128"/>
      <c r="F13" s="128"/>
      <c r="G13" s="129"/>
      <c r="H13" s="129"/>
      <c r="I13" s="129"/>
      <c r="J13" s="129"/>
      <c r="K13" s="129"/>
      <c r="L13" s="130"/>
      <c r="M13" s="130"/>
      <c r="N13" s="131"/>
      <c r="O13" s="132"/>
      <c r="P13" s="133"/>
      <c r="Q13" s="134"/>
      <c r="R13" s="135">
        <v>3.4</v>
      </c>
      <c r="S13" s="136">
        <f t="shared" si="0"/>
        <v>0</v>
      </c>
      <c r="T13" s="137">
        <f t="shared" si="1"/>
        <v>0</v>
      </c>
      <c r="U13" s="138">
        <f t="shared" si="2"/>
        <v>0</v>
      </c>
      <c r="V13" s="139">
        <f t="shared" si="3"/>
        <v>0</v>
      </c>
      <c r="W13" s="140">
        <f t="shared" si="4"/>
        <v>0</v>
      </c>
      <c r="X13" s="135"/>
      <c r="Y13" s="250" t="str">
        <f>_xlfn.TEXTJOIN(", ",TRUE,BN65:BO70)</f>
        <v/>
      </c>
      <c r="Z13" s="251"/>
      <c r="AA13" s="106"/>
      <c r="AB13" s="106"/>
      <c r="AC13" s="141"/>
      <c r="AD13" s="129">
        <f t="shared" si="5"/>
        <v>0</v>
      </c>
      <c r="AE13" s="135" t="e">
        <f>CX55+AD13</f>
        <v>#REF!</v>
      </c>
      <c r="AF13" s="129">
        <f>BN41+CX40</f>
        <v>0</v>
      </c>
      <c r="AG13" s="142" t="e">
        <f t="shared" si="6"/>
        <v>#REF!</v>
      </c>
      <c r="AH13" s="123" t="str">
        <f>IF(OR(G13="",BO57=""),"",BO57)</f>
        <v/>
      </c>
      <c r="AI13" s="124" t="str">
        <f t="shared" si="7"/>
        <v/>
      </c>
    </row>
    <row r="14" spans="1:35" ht="74.75" hidden="1" customHeight="1" outlineLevel="1" thickBot="1" x14ac:dyDescent="0.5">
      <c r="A14" s="125"/>
      <c r="B14" s="126">
        <v>10</v>
      </c>
      <c r="C14" s="106"/>
      <c r="D14" s="127" t="str">
        <f t="shared" si="8"/>
        <v/>
      </c>
      <c r="E14" s="128"/>
      <c r="F14" s="128"/>
      <c r="G14" s="129"/>
      <c r="H14" s="129"/>
      <c r="I14" s="129"/>
      <c r="J14" s="129"/>
      <c r="K14" s="129"/>
      <c r="L14" s="130"/>
      <c r="M14" s="130"/>
      <c r="N14" s="131"/>
      <c r="O14" s="132"/>
      <c r="P14" s="133"/>
      <c r="Q14" s="134"/>
      <c r="R14" s="135">
        <v>3.4</v>
      </c>
      <c r="S14" s="136">
        <f t="shared" si="0"/>
        <v>0</v>
      </c>
      <c r="T14" s="137">
        <f t="shared" si="1"/>
        <v>0</v>
      </c>
      <c r="U14" s="138">
        <f t="shared" si="2"/>
        <v>0</v>
      </c>
      <c r="V14" s="139">
        <f t="shared" si="3"/>
        <v>0</v>
      </c>
      <c r="W14" s="140">
        <f t="shared" si="4"/>
        <v>0</v>
      </c>
      <c r="X14" s="135"/>
      <c r="Y14" s="250" t="str">
        <f>_xlfn.TEXTJOIN(", ",TRUE,BU65:BV70)</f>
        <v/>
      </c>
      <c r="Z14" s="251"/>
      <c r="AA14" s="106"/>
      <c r="AB14" s="106"/>
      <c r="AC14" s="141"/>
      <c r="AD14" s="129">
        <f t="shared" si="5"/>
        <v>0</v>
      </c>
      <c r="AE14" s="135" t="e">
        <f>CY55+AD14</f>
        <v>#REF!</v>
      </c>
      <c r="AF14" s="129">
        <f>BU41+CY40</f>
        <v>0</v>
      </c>
      <c r="AG14" s="142" t="e">
        <f t="shared" si="6"/>
        <v>#REF!</v>
      </c>
      <c r="AH14" s="123" t="str">
        <f>IF(OR(G14="",BV57=""),"",BV57)</f>
        <v/>
      </c>
      <c r="AI14" s="124" t="str">
        <f t="shared" si="7"/>
        <v/>
      </c>
    </row>
    <row r="15" spans="1:35" ht="74.75" hidden="1" customHeight="1" outlineLevel="2" thickBot="1" x14ac:dyDescent="0.5">
      <c r="A15" s="125"/>
      <c r="B15" s="126">
        <v>11</v>
      </c>
      <c r="C15" s="106"/>
      <c r="D15" s="127" t="str">
        <f t="shared" si="8"/>
        <v/>
      </c>
      <c r="E15" s="128"/>
      <c r="F15" s="128"/>
      <c r="G15" s="129"/>
      <c r="H15" s="129"/>
      <c r="I15" s="129"/>
      <c r="J15" s="129"/>
      <c r="K15" s="129"/>
      <c r="L15" s="130"/>
      <c r="M15" s="130"/>
      <c r="N15" s="131"/>
      <c r="O15" s="132"/>
      <c r="P15" s="133"/>
      <c r="Q15" s="134"/>
      <c r="R15" s="135">
        <v>3.4</v>
      </c>
      <c r="S15" s="136">
        <f t="shared" si="0"/>
        <v>0</v>
      </c>
      <c r="T15" s="137">
        <f t="shared" si="1"/>
        <v>0</v>
      </c>
      <c r="U15" s="138">
        <f t="shared" si="2"/>
        <v>0</v>
      </c>
      <c r="V15" s="139">
        <f t="shared" si="3"/>
        <v>0</v>
      </c>
      <c r="W15" s="140">
        <f t="shared" si="4"/>
        <v>0</v>
      </c>
      <c r="X15" s="135"/>
      <c r="Y15" s="250" t="str">
        <f>_xlfn.TEXTJOIN(", ",TRUE,CB65:CC70)</f>
        <v/>
      </c>
      <c r="Z15" s="251"/>
      <c r="AA15" s="106"/>
      <c r="AB15" s="106"/>
      <c r="AC15" s="141"/>
      <c r="AD15" s="129">
        <f t="shared" si="5"/>
        <v>0</v>
      </c>
      <c r="AE15" s="135" t="e">
        <f>CZ55+AD15</f>
        <v>#REF!</v>
      </c>
      <c r="AF15" s="129">
        <f>CB41+CZ40</f>
        <v>0</v>
      </c>
      <c r="AG15" s="142" t="e">
        <f t="shared" si="6"/>
        <v>#REF!</v>
      </c>
      <c r="AH15" s="123" t="str">
        <f>IF(OR(G15="",CC57=""),"",CC57)</f>
        <v/>
      </c>
      <c r="AI15" s="124" t="str">
        <f t="shared" si="7"/>
        <v/>
      </c>
    </row>
    <row r="16" spans="1:35" ht="74.75" hidden="1" customHeight="1" outlineLevel="2" thickBot="1" x14ac:dyDescent="0.5">
      <c r="A16" s="125"/>
      <c r="B16" s="126">
        <v>12</v>
      </c>
      <c r="C16" s="106"/>
      <c r="D16" s="127" t="str">
        <f t="shared" si="8"/>
        <v/>
      </c>
      <c r="E16" s="128"/>
      <c r="F16" s="128"/>
      <c r="G16" s="129"/>
      <c r="H16" s="129"/>
      <c r="I16" s="129"/>
      <c r="J16" s="129"/>
      <c r="K16" s="129"/>
      <c r="L16" s="130"/>
      <c r="M16" s="130"/>
      <c r="N16" s="131"/>
      <c r="O16" s="132"/>
      <c r="P16" s="133"/>
      <c r="Q16" s="134"/>
      <c r="R16" s="135">
        <v>3.4</v>
      </c>
      <c r="S16" s="136">
        <f t="shared" si="0"/>
        <v>0</v>
      </c>
      <c r="T16" s="137">
        <f t="shared" si="1"/>
        <v>0</v>
      </c>
      <c r="U16" s="138">
        <f t="shared" si="2"/>
        <v>0</v>
      </c>
      <c r="V16" s="139">
        <f t="shared" si="3"/>
        <v>0</v>
      </c>
      <c r="W16" s="140">
        <f t="shared" si="4"/>
        <v>0</v>
      </c>
      <c r="X16" s="135"/>
      <c r="Y16" s="250" t="str">
        <f>_xlfn.TEXTJOIN(", ",TRUE,CI65:CJ70)</f>
        <v/>
      </c>
      <c r="Z16" s="251"/>
      <c r="AA16" s="106"/>
      <c r="AB16" s="106"/>
      <c r="AC16" s="141"/>
      <c r="AD16" s="129">
        <f t="shared" si="5"/>
        <v>0</v>
      </c>
      <c r="AE16" s="135" t="e">
        <f>DA55+AD16</f>
        <v>#REF!</v>
      </c>
      <c r="AF16" s="129">
        <f>CI41+DA40</f>
        <v>0</v>
      </c>
      <c r="AG16" s="142" t="e">
        <f t="shared" si="6"/>
        <v>#REF!</v>
      </c>
      <c r="AH16" s="123" t="str">
        <f>IF(OR(G16="",CJ57=""),"",CJ57)</f>
        <v/>
      </c>
      <c r="AI16" s="124" t="str">
        <f t="shared" si="7"/>
        <v/>
      </c>
    </row>
    <row r="17" spans="1:105" ht="28.9" customHeight="1" collapsed="1" x14ac:dyDescent="0.45">
      <c r="K17" s="16"/>
    </row>
    <row r="18" spans="1:105" s="22" customFormat="1" ht="14.25" customHeight="1" x14ac:dyDescent="0.45">
      <c r="A18" s="97" t="s">
        <v>117</v>
      </c>
      <c r="K18" s="16"/>
      <c r="AU18" s="36"/>
      <c r="AV18" s="36"/>
      <c r="AW18" s="36"/>
      <c r="AX18" s="36"/>
      <c r="AY18" s="36"/>
      <c r="AZ18" s="36"/>
    </row>
    <row r="19" spans="1:105" s="22" customFormat="1" ht="28.5" customHeight="1" x14ac:dyDescent="0.45">
      <c r="B19" s="53" t="s">
        <v>118</v>
      </c>
      <c r="C19" s="53"/>
      <c r="E19" s="53"/>
      <c r="K19" s="16"/>
      <c r="AS19" s="36"/>
      <c r="AT19" s="36"/>
      <c r="AU19" s="36"/>
      <c r="AV19" s="36"/>
      <c r="AW19" s="36"/>
      <c r="AX19" s="36"/>
    </row>
    <row r="20" spans="1:105" s="22" customFormat="1" ht="18" x14ac:dyDescent="0.45">
      <c r="B20" s="53" t="s">
        <v>119</v>
      </c>
      <c r="C20" s="53"/>
      <c r="D20" s="53"/>
      <c r="E20" s="53"/>
      <c r="K20" s="16"/>
      <c r="AS20" s="36"/>
      <c r="AT20" s="36"/>
      <c r="AU20" s="36"/>
      <c r="AV20" s="36"/>
      <c r="AW20" s="36"/>
      <c r="AX20" s="36"/>
    </row>
    <row r="21" spans="1:105" ht="18" x14ac:dyDescent="0.45">
      <c r="B21" s="53" t="s">
        <v>120</v>
      </c>
      <c r="C21" s="53"/>
      <c r="D21" s="53"/>
      <c r="E21" s="53"/>
      <c r="K21" s="16"/>
      <c r="AS21" s="36"/>
      <c r="AT21" s="36"/>
      <c r="AU21" s="36"/>
      <c r="AV21" s="36"/>
      <c r="AW21" s="36"/>
      <c r="AX21" s="36"/>
    </row>
    <row r="22" spans="1:105" ht="18.399999999999999" thickBot="1" x14ac:dyDescent="0.5">
      <c r="A22" s="97" t="s">
        <v>121</v>
      </c>
      <c r="B22" s="53" t="s">
        <v>122</v>
      </c>
      <c r="C22" s="53"/>
      <c r="D22" s="53"/>
      <c r="E22" s="53"/>
      <c r="K22" s="16"/>
      <c r="AS22" s="36"/>
      <c r="AT22" s="36"/>
      <c r="AU22" s="36"/>
      <c r="AV22" s="36"/>
      <c r="AW22" s="36"/>
      <c r="AX22" s="36"/>
    </row>
    <row r="23" spans="1:105" ht="14.65" thickBot="1" x14ac:dyDescent="0.5">
      <c r="A23" s="273" t="s">
        <v>123</v>
      </c>
      <c r="B23" s="299"/>
      <c r="C23" s="230"/>
      <c r="D23" s="230"/>
      <c r="E23" s="230"/>
      <c r="F23" s="230"/>
      <c r="G23" s="231"/>
      <c r="H23" s="232"/>
      <c r="J23" s="262" t="str">
        <f>IF(H5="","",H5)</f>
        <v/>
      </c>
      <c r="K23" s="263"/>
      <c r="L23" s="263"/>
      <c r="M23" s="263"/>
      <c r="N23" s="263"/>
      <c r="O23" s="263"/>
      <c r="P23" s="264"/>
      <c r="Q23" s="262" t="str">
        <f>IF(H6="","",H6)</f>
        <v/>
      </c>
      <c r="R23" s="263"/>
      <c r="S23" s="263"/>
      <c r="T23" s="263"/>
      <c r="U23" s="263"/>
      <c r="V23" s="263"/>
      <c r="W23" s="264"/>
      <c r="X23" s="262" t="str">
        <f>IF(H7="","",H7)</f>
        <v/>
      </c>
      <c r="Y23" s="263"/>
      <c r="Z23" s="263"/>
      <c r="AA23" s="263"/>
      <c r="AB23" s="263"/>
      <c r="AC23" s="263"/>
      <c r="AD23" s="264"/>
      <c r="AE23" s="262" t="str">
        <f>IF(H8="","",H8)</f>
        <v/>
      </c>
      <c r="AF23" s="263"/>
      <c r="AG23" s="263"/>
      <c r="AH23" s="263"/>
      <c r="AI23" s="263"/>
      <c r="AJ23" s="263"/>
      <c r="AK23" s="264"/>
      <c r="AL23" s="262" t="str">
        <f>IF(H9="","",H9)</f>
        <v/>
      </c>
      <c r="AM23" s="263"/>
      <c r="AN23" s="263"/>
      <c r="AO23" s="263"/>
      <c r="AP23" s="263"/>
      <c r="AQ23" s="263"/>
      <c r="AR23" s="264"/>
      <c r="AS23" s="262" t="str">
        <f>IF(H10="","",H10)</f>
        <v/>
      </c>
      <c r="AT23" s="263"/>
      <c r="AU23" s="263"/>
      <c r="AV23" s="263"/>
      <c r="AW23" s="263"/>
      <c r="AX23" s="263"/>
      <c r="AY23" s="264"/>
      <c r="AZ23" s="262" t="str">
        <f>IF(H11="","",H11)</f>
        <v/>
      </c>
      <c r="BA23" s="263"/>
      <c r="BB23" s="263"/>
      <c r="BC23" s="263"/>
      <c r="BD23" s="263"/>
      <c r="BE23" s="263"/>
      <c r="BF23" s="264"/>
      <c r="BG23" s="262" t="str">
        <f>IF(H12="","",H12)</f>
        <v/>
      </c>
      <c r="BH23" s="263"/>
      <c r="BI23" s="263"/>
      <c r="BJ23" s="263"/>
      <c r="BK23" s="263"/>
      <c r="BL23" s="263"/>
      <c r="BM23" s="264"/>
      <c r="BN23" s="262" t="str">
        <f>IF(H13="","",H13)</f>
        <v/>
      </c>
      <c r="BO23" s="263"/>
      <c r="BP23" s="263"/>
      <c r="BQ23" s="263"/>
      <c r="BR23" s="263"/>
      <c r="BS23" s="263"/>
      <c r="BT23" s="264"/>
      <c r="BU23" s="262" t="str">
        <f>IF(H14="","",H14)</f>
        <v/>
      </c>
      <c r="BV23" s="263"/>
      <c r="BW23" s="263"/>
      <c r="BX23" s="263"/>
      <c r="BY23" s="263"/>
      <c r="BZ23" s="263"/>
      <c r="CA23" s="264"/>
      <c r="CB23" s="262" t="str">
        <f>IF(H15="","",H15)</f>
        <v/>
      </c>
      <c r="CC23" s="263"/>
      <c r="CD23" s="263"/>
      <c r="CE23" s="263"/>
      <c r="CF23" s="263"/>
      <c r="CG23" s="263"/>
      <c r="CH23" s="264"/>
      <c r="CI23" s="262" t="str">
        <f>IF(H16="","",H16)</f>
        <v/>
      </c>
      <c r="CJ23" s="263"/>
      <c r="CK23" s="263"/>
      <c r="CL23" s="263"/>
      <c r="CM23" s="263"/>
      <c r="CN23" s="263"/>
      <c r="CO23" s="264"/>
    </row>
    <row r="24" spans="1:105" s="22" customFormat="1" ht="28.5" customHeight="1" thickBot="1" x14ac:dyDescent="0.5">
      <c r="A24" s="274"/>
      <c r="B24" s="177" t="s">
        <v>124</v>
      </c>
      <c r="C24" s="278" t="s">
        <v>125</v>
      </c>
      <c r="D24" s="279"/>
      <c r="E24" s="278" t="s">
        <v>126</v>
      </c>
      <c r="F24" s="279"/>
      <c r="G24" s="279"/>
      <c r="H24" s="279"/>
      <c r="I24" s="279"/>
      <c r="J24" s="40" t="s">
        <v>127</v>
      </c>
      <c r="K24" s="41" t="s">
        <v>299</v>
      </c>
      <c r="L24" s="237" t="s">
        <v>110</v>
      </c>
      <c r="M24" s="238"/>
      <c r="N24" s="238"/>
      <c r="O24" s="238"/>
      <c r="P24" s="239"/>
      <c r="Q24" s="40" t="s">
        <v>127</v>
      </c>
      <c r="R24" s="41" t="s">
        <v>299</v>
      </c>
      <c r="S24" s="237" t="s">
        <v>110</v>
      </c>
      <c r="T24" s="238"/>
      <c r="U24" s="238"/>
      <c r="V24" s="238"/>
      <c r="W24" s="239"/>
      <c r="X24" s="40" t="s">
        <v>127</v>
      </c>
      <c r="Y24" s="41" t="s">
        <v>299</v>
      </c>
      <c r="Z24" s="237" t="s">
        <v>110</v>
      </c>
      <c r="AA24" s="238"/>
      <c r="AB24" s="238"/>
      <c r="AC24" s="238"/>
      <c r="AD24" s="239"/>
      <c r="AE24" s="40" t="s">
        <v>127</v>
      </c>
      <c r="AF24" s="41" t="s">
        <v>299</v>
      </c>
      <c r="AG24" s="237" t="s">
        <v>110</v>
      </c>
      <c r="AH24" s="238"/>
      <c r="AI24" s="238"/>
      <c r="AJ24" s="238"/>
      <c r="AK24" s="239"/>
      <c r="AL24" s="40" t="s">
        <v>127</v>
      </c>
      <c r="AM24" s="41" t="s">
        <v>299</v>
      </c>
      <c r="AN24" s="237" t="s">
        <v>110</v>
      </c>
      <c r="AO24" s="238"/>
      <c r="AP24" s="238"/>
      <c r="AQ24" s="238"/>
      <c r="AR24" s="239"/>
      <c r="AS24" s="40" t="s">
        <v>127</v>
      </c>
      <c r="AT24" s="41" t="s">
        <v>299</v>
      </c>
      <c r="AU24" s="237" t="s">
        <v>110</v>
      </c>
      <c r="AV24" s="238"/>
      <c r="AW24" s="238"/>
      <c r="AX24" s="238"/>
      <c r="AY24" s="239"/>
      <c r="AZ24" s="40" t="s">
        <v>127</v>
      </c>
      <c r="BA24" s="41" t="s">
        <v>299</v>
      </c>
      <c r="BB24" s="237" t="s">
        <v>110</v>
      </c>
      <c r="BC24" s="238"/>
      <c r="BD24" s="238"/>
      <c r="BE24" s="238"/>
      <c r="BF24" s="239"/>
      <c r="BG24" s="40" t="s">
        <v>127</v>
      </c>
      <c r="BH24" s="41" t="s">
        <v>299</v>
      </c>
      <c r="BI24" s="237" t="s">
        <v>110</v>
      </c>
      <c r="BJ24" s="238"/>
      <c r="BK24" s="238"/>
      <c r="BL24" s="238"/>
      <c r="BM24" s="239"/>
      <c r="BN24" s="40" t="s">
        <v>127</v>
      </c>
      <c r="BO24" s="41" t="s">
        <v>299</v>
      </c>
      <c r="BP24" s="237" t="s">
        <v>110</v>
      </c>
      <c r="BQ24" s="238"/>
      <c r="BR24" s="238"/>
      <c r="BS24" s="238"/>
      <c r="BT24" s="239"/>
      <c r="BU24" s="40" t="s">
        <v>127</v>
      </c>
      <c r="BV24" s="41" t="s">
        <v>299</v>
      </c>
      <c r="BW24" s="237" t="s">
        <v>110</v>
      </c>
      <c r="BX24" s="238"/>
      <c r="BY24" s="238"/>
      <c r="BZ24" s="238"/>
      <c r="CA24" s="239"/>
      <c r="CB24" s="40" t="s">
        <v>127</v>
      </c>
      <c r="CC24" s="41" t="s">
        <v>299</v>
      </c>
      <c r="CD24" s="237" t="s">
        <v>110</v>
      </c>
      <c r="CE24" s="238"/>
      <c r="CF24" s="238"/>
      <c r="CG24" s="238"/>
      <c r="CH24" s="239"/>
      <c r="CI24" s="40" t="s">
        <v>127</v>
      </c>
      <c r="CJ24" s="41" t="s">
        <v>299</v>
      </c>
      <c r="CK24" s="237" t="s">
        <v>110</v>
      </c>
      <c r="CL24" s="238"/>
      <c r="CM24" s="238"/>
      <c r="CN24" s="238"/>
      <c r="CO24" s="239"/>
    </row>
    <row r="25" spans="1:105" s="22" customFormat="1" ht="14.25" customHeight="1" x14ac:dyDescent="0.45">
      <c r="A25" s="56" t="s">
        <v>128</v>
      </c>
      <c r="B25" s="21" t="s">
        <v>5</v>
      </c>
      <c r="C25" s="242" t="s">
        <v>6</v>
      </c>
      <c r="D25" s="243"/>
      <c r="E25" s="283" t="s">
        <v>129</v>
      </c>
      <c r="F25" s="234"/>
      <c r="G25" s="234"/>
      <c r="H25" s="234"/>
      <c r="I25" s="235"/>
      <c r="J25" s="54"/>
      <c r="K25" s="143"/>
      <c r="L25" s="241"/>
      <c r="M25" s="234"/>
      <c r="N25" s="234"/>
      <c r="O25" s="234"/>
      <c r="P25" s="235"/>
      <c r="Q25" s="54"/>
      <c r="R25" s="143"/>
      <c r="S25" s="241"/>
      <c r="T25" s="234"/>
      <c r="U25" s="234"/>
      <c r="V25" s="234"/>
      <c r="W25" s="235"/>
      <c r="X25" s="54"/>
      <c r="Y25" s="143"/>
      <c r="Z25" s="241"/>
      <c r="AA25" s="234"/>
      <c r="AB25" s="234"/>
      <c r="AC25" s="234"/>
      <c r="AD25" s="235"/>
      <c r="AE25" s="54"/>
      <c r="AF25" s="143"/>
      <c r="AG25" s="241"/>
      <c r="AH25" s="234"/>
      <c r="AI25" s="234"/>
      <c r="AJ25" s="234"/>
      <c r="AK25" s="235"/>
      <c r="AL25" s="54"/>
      <c r="AM25" s="143"/>
      <c r="AN25" s="241"/>
      <c r="AO25" s="234"/>
      <c r="AP25" s="234"/>
      <c r="AQ25" s="234"/>
      <c r="AR25" s="235"/>
      <c r="AS25" s="54"/>
      <c r="AT25" s="143"/>
      <c r="AU25" s="241"/>
      <c r="AV25" s="234"/>
      <c r="AW25" s="234"/>
      <c r="AX25" s="234"/>
      <c r="AY25" s="235"/>
      <c r="AZ25" s="54"/>
      <c r="BA25" s="143"/>
      <c r="BB25" s="241"/>
      <c r="BC25" s="234"/>
      <c r="BD25" s="234"/>
      <c r="BE25" s="234"/>
      <c r="BF25" s="235"/>
      <c r="BG25" s="54"/>
      <c r="BH25" s="143"/>
      <c r="BI25" s="241"/>
      <c r="BJ25" s="234"/>
      <c r="BK25" s="234"/>
      <c r="BL25" s="234"/>
      <c r="BM25" s="235"/>
      <c r="BN25" s="54"/>
      <c r="BO25" s="143"/>
      <c r="BP25" s="241"/>
      <c r="BQ25" s="234"/>
      <c r="BR25" s="234"/>
      <c r="BS25" s="234"/>
      <c r="BT25" s="235"/>
      <c r="BU25" s="54"/>
      <c r="BV25" s="143"/>
      <c r="BW25" s="241"/>
      <c r="BX25" s="234"/>
      <c r="BY25" s="234"/>
      <c r="BZ25" s="234"/>
      <c r="CA25" s="235"/>
      <c r="CB25" s="54"/>
      <c r="CC25" s="143"/>
      <c r="CD25" s="241"/>
      <c r="CE25" s="234"/>
      <c r="CF25" s="234"/>
      <c r="CG25" s="234"/>
      <c r="CH25" s="235"/>
      <c r="CI25" s="54"/>
      <c r="CJ25" s="143"/>
      <c r="CK25" s="241"/>
      <c r="CL25" s="234"/>
      <c r="CM25" s="234"/>
      <c r="CN25" s="234"/>
      <c r="CO25" s="235"/>
      <c r="CP25">
        <f>IF(J25="нет",1,0)</f>
        <v>0</v>
      </c>
      <c r="CQ25">
        <f>IF(Q25="нет",1,0)</f>
        <v>0</v>
      </c>
      <c r="CR25">
        <f>IF(X25="нет",1,0)</f>
        <v>0</v>
      </c>
      <c r="CS25">
        <f>IF(AE25="нет",1,0)</f>
        <v>0</v>
      </c>
      <c r="CT25">
        <f>IF(AL25="нет",1,0)</f>
        <v>0</v>
      </c>
      <c r="CU25">
        <f>IF(AS25="нет",1,0)</f>
        <v>0</v>
      </c>
      <c r="CV25">
        <f>IF(AZ25="нет",1,0)</f>
        <v>0</v>
      </c>
      <c r="CW25">
        <f>IF(BG25="нет",1,0)</f>
        <v>0</v>
      </c>
      <c r="CX25">
        <f>IF(BN25="нет",1,0)</f>
        <v>0</v>
      </c>
      <c r="CY25">
        <f>IF(BU25="нет",1,0)</f>
        <v>0</v>
      </c>
      <c r="CZ25">
        <f>IF(CB25="нет",1,0)</f>
        <v>0</v>
      </c>
      <c r="DA25">
        <f>IF(CI25="нет",1,0)</f>
        <v>0</v>
      </c>
    </row>
    <row r="26" spans="1:105" s="22" customFormat="1" ht="29" customHeight="1" x14ac:dyDescent="0.45">
      <c r="A26" s="56"/>
      <c r="B26" s="23" t="s">
        <v>130</v>
      </c>
      <c r="C26" s="304" t="s">
        <v>11</v>
      </c>
      <c r="D26" s="243"/>
      <c r="E26" s="297" t="s">
        <v>131</v>
      </c>
      <c r="F26" s="234"/>
      <c r="G26" s="234"/>
      <c r="H26" s="234"/>
      <c r="I26" s="235"/>
      <c r="J26" s="54"/>
      <c r="K26" s="144"/>
      <c r="L26" s="246"/>
      <c r="M26" s="234"/>
      <c r="N26" s="234"/>
      <c r="O26" s="234"/>
      <c r="P26" s="245"/>
      <c r="Q26" s="54"/>
      <c r="R26" s="144"/>
      <c r="S26" s="246"/>
      <c r="T26" s="234"/>
      <c r="U26" s="234"/>
      <c r="V26" s="234"/>
      <c r="W26" s="245"/>
      <c r="X26" s="54"/>
      <c r="Y26" s="144"/>
      <c r="Z26" s="246"/>
      <c r="AA26" s="234"/>
      <c r="AB26" s="234"/>
      <c r="AC26" s="234"/>
      <c r="AD26" s="245"/>
      <c r="AE26" s="54"/>
      <c r="AF26" s="144"/>
      <c r="AG26" s="246"/>
      <c r="AH26" s="234"/>
      <c r="AI26" s="234"/>
      <c r="AJ26" s="234"/>
      <c r="AK26" s="245"/>
      <c r="AL26" s="54"/>
      <c r="AM26" s="144"/>
      <c r="AN26" s="246"/>
      <c r="AO26" s="234"/>
      <c r="AP26" s="234"/>
      <c r="AQ26" s="234"/>
      <c r="AR26" s="245"/>
      <c r="AS26" s="54"/>
      <c r="AT26" s="144"/>
      <c r="AU26" s="246"/>
      <c r="AV26" s="234"/>
      <c r="AW26" s="234"/>
      <c r="AX26" s="234"/>
      <c r="AY26" s="245"/>
      <c r="AZ26" s="54"/>
      <c r="BA26" s="144"/>
      <c r="BB26" s="246"/>
      <c r="BC26" s="234"/>
      <c r="BD26" s="234"/>
      <c r="BE26" s="234"/>
      <c r="BF26" s="245"/>
      <c r="BG26" s="54"/>
      <c r="BH26" s="144"/>
      <c r="BI26" s="246"/>
      <c r="BJ26" s="234"/>
      <c r="BK26" s="234"/>
      <c r="BL26" s="234"/>
      <c r="BM26" s="245"/>
      <c r="BN26" s="54"/>
      <c r="BO26" s="144"/>
      <c r="BP26" s="246"/>
      <c r="BQ26" s="234"/>
      <c r="BR26" s="234"/>
      <c r="BS26" s="234"/>
      <c r="BT26" s="245"/>
      <c r="BU26" s="54"/>
      <c r="BV26" s="144"/>
      <c r="BW26" s="246"/>
      <c r="BX26" s="234"/>
      <c r="BY26" s="234"/>
      <c r="BZ26" s="234"/>
      <c r="CA26" s="245"/>
      <c r="CB26" s="54"/>
      <c r="CC26" s="144"/>
      <c r="CD26" s="246"/>
      <c r="CE26" s="234"/>
      <c r="CF26" s="234"/>
      <c r="CG26" s="234"/>
      <c r="CH26" s="245"/>
      <c r="CI26" s="54"/>
      <c r="CJ26" s="144"/>
      <c r="CK26" s="246"/>
      <c r="CL26" s="234"/>
      <c r="CM26" s="234"/>
      <c r="CN26" s="234"/>
      <c r="CO26" s="245"/>
      <c r="CP26">
        <f>IF(J26="нет",1,0)</f>
        <v>0</v>
      </c>
      <c r="CQ26">
        <f>IF(Q26="нет",1,0)</f>
        <v>0</v>
      </c>
      <c r="CR26">
        <f>IF(X26="нет",1,0)</f>
        <v>0</v>
      </c>
      <c r="CS26">
        <f>IF(AE26="нет",1,0)</f>
        <v>0</v>
      </c>
      <c r="CT26">
        <f>IF(AL26="нет",1,0)</f>
        <v>0</v>
      </c>
      <c r="CU26">
        <f>IF(AS26="нет",1,0)</f>
        <v>0</v>
      </c>
      <c r="CV26">
        <f>IF(AZ26="нет",1,0)</f>
        <v>0</v>
      </c>
      <c r="CW26">
        <f>IF(BG26="нет",1,0)</f>
        <v>0</v>
      </c>
      <c r="CX26">
        <f>IF(BN26="нет",1,0)</f>
        <v>0</v>
      </c>
      <c r="CY26">
        <f>IF(BU26="нет",1,0)</f>
        <v>0</v>
      </c>
      <c r="CZ26">
        <f>IF(CB26="нет",1,0)</f>
        <v>0</v>
      </c>
      <c r="DA26">
        <f>IF(CI26="нет",1,0)</f>
        <v>0</v>
      </c>
    </row>
    <row r="27" spans="1:105" s="22" customFormat="1" ht="28.5" customHeight="1" x14ac:dyDescent="0.45">
      <c r="A27" s="95" t="s">
        <v>132</v>
      </c>
      <c r="B27" s="20" t="s">
        <v>13</v>
      </c>
      <c r="C27" s="43" t="s">
        <v>133</v>
      </c>
      <c r="E27" s="259" t="s">
        <v>134</v>
      </c>
      <c r="F27" s="260"/>
      <c r="G27" s="260"/>
      <c r="H27" s="260"/>
      <c r="I27" s="261"/>
      <c r="J27" s="54"/>
      <c r="K27" s="144"/>
      <c r="L27" s="246"/>
      <c r="M27" s="234"/>
      <c r="N27" s="234"/>
      <c r="O27" s="234"/>
      <c r="P27" s="245"/>
      <c r="Q27" s="54"/>
      <c r="R27" s="144"/>
      <c r="S27" s="246"/>
      <c r="T27" s="234"/>
      <c r="U27" s="234"/>
      <c r="V27" s="234"/>
      <c r="W27" s="245"/>
      <c r="X27" s="54"/>
      <c r="Y27" s="144"/>
      <c r="Z27" s="246"/>
      <c r="AA27" s="234"/>
      <c r="AB27" s="234"/>
      <c r="AC27" s="234"/>
      <c r="AD27" s="245"/>
      <c r="AE27" s="54"/>
      <c r="AF27" s="144"/>
      <c r="AG27" s="246"/>
      <c r="AH27" s="234"/>
      <c r="AI27" s="234"/>
      <c r="AJ27" s="234"/>
      <c r="AK27" s="245"/>
      <c r="AL27" s="54"/>
      <c r="AM27" s="144"/>
      <c r="AN27" s="246"/>
      <c r="AO27" s="234"/>
      <c r="AP27" s="234"/>
      <c r="AQ27" s="234"/>
      <c r="AR27" s="245"/>
      <c r="AS27" s="54"/>
      <c r="AT27" s="144"/>
      <c r="AU27" s="246"/>
      <c r="AV27" s="234"/>
      <c r="AW27" s="234"/>
      <c r="AX27" s="234"/>
      <c r="AY27" s="245"/>
      <c r="AZ27" s="54"/>
      <c r="BA27" s="144"/>
      <c r="BB27" s="246"/>
      <c r="BC27" s="234"/>
      <c r="BD27" s="234"/>
      <c r="BE27" s="234"/>
      <c r="BF27" s="245"/>
      <c r="BG27" s="54"/>
      <c r="BH27" s="144"/>
      <c r="BI27" s="246"/>
      <c r="BJ27" s="234"/>
      <c r="BK27" s="234"/>
      <c r="BL27" s="234"/>
      <c r="BM27" s="245"/>
      <c r="BN27" s="54"/>
      <c r="BO27" s="144"/>
      <c r="BP27" s="246"/>
      <c r="BQ27" s="234"/>
      <c r="BR27" s="234"/>
      <c r="BS27" s="234"/>
      <c r="BT27" s="245"/>
      <c r="BU27" s="54"/>
      <c r="BV27" s="144"/>
      <c r="BW27" s="246"/>
      <c r="BX27" s="234"/>
      <c r="BY27" s="234"/>
      <c r="BZ27" s="234"/>
      <c r="CA27" s="245"/>
      <c r="CB27" s="54"/>
      <c r="CC27" s="144"/>
      <c r="CD27" s="246"/>
      <c r="CE27" s="234"/>
      <c r="CF27" s="234"/>
      <c r="CG27" s="234"/>
      <c r="CH27" s="245"/>
      <c r="CI27" s="54"/>
      <c r="CJ27" s="144"/>
      <c r="CK27" s="246"/>
      <c r="CL27" s="234"/>
      <c r="CM27" s="234"/>
      <c r="CN27" s="234"/>
      <c r="CO27" s="245"/>
      <c r="CP27">
        <f t="shared" ref="CP27:CP34" si="9">IF(J27="нет",1,0)</f>
        <v>0</v>
      </c>
      <c r="CQ27">
        <f t="shared" ref="CQ27:CQ34" si="10">IF(Q27="нет",1,0)</f>
        <v>0</v>
      </c>
      <c r="CR27">
        <f t="shared" ref="CR27:CR34" si="11">IF(X27="нет",1,0)</f>
        <v>0</v>
      </c>
      <c r="CS27">
        <f t="shared" ref="CS27:CS34" si="12">IF(AE27="нет",1,0)</f>
        <v>0</v>
      </c>
      <c r="CT27">
        <f t="shared" ref="CT27:CT34" si="13">IF(AL27="нет",1,0)</f>
        <v>0</v>
      </c>
      <c r="CU27">
        <f t="shared" ref="CU27:CU34" si="14">IF(AS27="нет",1,0)</f>
        <v>0</v>
      </c>
      <c r="CV27">
        <f t="shared" ref="CV27:CV34" si="15">IF(AZ27="нет",1,0)</f>
        <v>0</v>
      </c>
      <c r="CW27">
        <f t="shared" ref="CW27:CW34" si="16">IF(BG27="нет",1,0)</f>
        <v>0</v>
      </c>
      <c r="CX27">
        <f t="shared" ref="CX27:CX34" si="17">IF(BN27="нет",1,0)</f>
        <v>0</v>
      </c>
      <c r="CY27">
        <f t="shared" ref="CY27:CY34" si="18">IF(BU27="нет",1,0)</f>
        <v>0</v>
      </c>
      <c r="CZ27">
        <f t="shared" ref="CZ27:CZ34" si="19">IF(CB27="нет",1,0)</f>
        <v>0</v>
      </c>
      <c r="DA27">
        <f t="shared" ref="DA27:DA34" si="20">IF(CI27="нет",1,0)</f>
        <v>0</v>
      </c>
    </row>
    <row r="28" spans="1:105" s="22" customFormat="1" ht="28.5" customHeight="1" x14ac:dyDescent="0.45">
      <c r="A28" s="56" t="s">
        <v>135</v>
      </c>
      <c r="B28" s="21" t="s">
        <v>18</v>
      </c>
      <c r="C28" s="242" t="s">
        <v>19</v>
      </c>
      <c r="D28" s="243"/>
      <c r="E28" s="283" t="s">
        <v>136</v>
      </c>
      <c r="F28" s="234"/>
      <c r="G28" s="234"/>
      <c r="H28" s="234"/>
      <c r="I28" s="235"/>
      <c r="J28" s="54"/>
      <c r="K28" s="145"/>
      <c r="L28" s="241"/>
      <c r="M28" s="234"/>
      <c r="N28" s="234"/>
      <c r="O28" s="234"/>
      <c r="P28" s="235"/>
      <c r="Q28" s="54"/>
      <c r="R28" s="145"/>
      <c r="S28" s="241"/>
      <c r="T28" s="234"/>
      <c r="U28" s="234"/>
      <c r="V28" s="234"/>
      <c r="W28" s="235"/>
      <c r="X28" s="54"/>
      <c r="Y28" s="145"/>
      <c r="Z28" s="241"/>
      <c r="AA28" s="234"/>
      <c r="AB28" s="234"/>
      <c r="AC28" s="234"/>
      <c r="AD28" s="235"/>
      <c r="AE28" s="54"/>
      <c r="AF28" s="145"/>
      <c r="AG28" s="241"/>
      <c r="AH28" s="234"/>
      <c r="AI28" s="234"/>
      <c r="AJ28" s="234"/>
      <c r="AK28" s="235"/>
      <c r="AL28" s="54"/>
      <c r="AM28" s="145"/>
      <c r="AN28" s="241"/>
      <c r="AO28" s="234"/>
      <c r="AP28" s="234"/>
      <c r="AQ28" s="234"/>
      <c r="AR28" s="235"/>
      <c r="AS28" s="54"/>
      <c r="AT28" s="145"/>
      <c r="AU28" s="241"/>
      <c r="AV28" s="234"/>
      <c r="AW28" s="234"/>
      <c r="AX28" s="234"/>
      <c r="AY28" s="235"/>
      <c r="AZ28" s="54"/>
      <c r="BA28" s="145"/>
      <c r="BB28" s="241"/>
      <c r="BC28" s="234"/>
      <c r="BD28" s="234"/>
      <c r="BE28" s="234"/>
      <c r="BF28" s="235"/>
      <c r="BG28" s="54"/>
      <c r="BH28" s="145"/>
      <c r="BI28" s="241"/>
      <c r="BJ28" s="234"/>
      <c r="BK28" s="234"/>
      <c r="BL28" s="234"/>
      <c r="BM28" s="235"/>
      <c r="BN28" s="54"/>
      <c r="BO28" s="145"/>
      <c r="BP28" s="241"/>
      <c r="BQ28" s="234"/>
      <c r="BR28" s="234"/>
      <c r="BS28" s="234"/>
      <c r="BT28" s="235"/>
      <c r="BU28" s="54"/>
      <c r="BV28" s="145"/>
      <c r="BW28" s="241"/>
      <c r="BX28" s="234"/>
      <c r="BY28" s="234"/>
      <c r="BZ28" s="234"/>
      <c r="CA28" s="235"/>
      <c r="CB28" s="54"/>
      <c r="CC28" s="145"/>
      <c r="CD28" s="241"/>
      <c r="CE28" s="234"/>
      <c r="CF28" s="234"/>
      <c r="CG28" s="234"/>
      <c r="CH28" s="235"/>
      <c r="CI28" s="54"/>
      <c r="CJ28" s="145"/>
      <c r="CK28" s="241"/>
      <c r="CL28" s="234"/>
      <c r="CM28" s="234"/>
      <c r="CN28" s="234"/>
      <c r="CO28" s="235"/>
      <c r="CP28">
        <f t="shared" si="9"/>
        <v>0</v>
      </c>
      <c r="CQ28">
        <f t="shared" si="10"/>
        <v>0</v>
      </c>
      <c r="CR28">
        <f t="shared" si="11"/>
        <v>0</v>
      </c>
      <c r="CS28">
        <f t="shared" si="12"/>
        <v>0</v>
      </c>
      <c r="CT28">
        <f t="shared" si="13"/>
        <v>0</v>
      </c>
      <c r="CU28">
        <f t="shared" si="14"/>
        <v>0</v>
      </c>
      <c r="CV28">
        <f t="shared" si="15"/>
        <v>0</v>
      </c>
      <c r="CW28">
        <f t="shared" si="16"/>
        <v>0</v>
      </c>
      <c r="CX28">
        <f t="shared" si="17"/>
        <v>0</v>
      </c>
      <c r="CY28">
        <f t="shared" si="18"/>
        <v>0</v>
      </c>
      <c r="CZ28">
        <f t="shared" si="19"/>
        <v>0</v>
      </c>
      <c r="DA28">
        <f t="shared" si="20"/>
        <v>0</v>
      </c>
    </row>
    <row r="29" spans="1:105" s="22" customFormat="1" ht="28.5" customHeight="1" x14ac:dyDescent="0.45">
      <c r="A29" s="56" t="s">
        <v>137</v>
      </c>
      <c r="B29" s="24"/>
      <c r="C29" s="267"/>
      <c r="D29" s="260"/>
      <c r="E29" s="283" t="s">
        <v>316</v>
      </c>
      <c r="F29" s="234"/>
      <c r="G29" s="234"/>
      <c r="H29" s="234"/>
      <c r="I29" s="235"/>
      <c r="J29" s="54"/>
      <c r="K29" s="143"/>
      <c r="L29" s="241"/>
      <c r="M29" s="234"/>
      <c r="N29" s="234"/>
      <c r="O29" s="234"/>
      <c r="P29" s="235"/>
      <c r="Q29" s="54"/>
      <c r="R29" s="143"/>
      <c r="S29" s="241"/>
      <c r="T29" s="234"/>
      <c r="U29" s="234"/>
      <c r="V29" s="234"/>
      <c r="W29" s="235"/>
      <c r="X29" s="54"/>
      <c r="Y29" s="143"/>
      <c r="Z29" s="241"/>
      <c r="AA29" s="234"/>
      <c r="AB29" s="234"/>
      <c r="AC29" s="234"/>
      <c r="AD29" s="235"/>
      <c r="AE29" s="54"/>
      <c r="AF29" s="143"/>
      <c r="AG29" s="241"/>
      <c r="AH29" s="234"/>
      <c r="AI29" s="234"/>
      <c r="AJ29" s="234"/>
      <c r="AK29" s="235"/>
      <c r="AL29" s="54"/>
      <c r="AM29" s="143"/>
      <c r="AN29" s="241"/>
      <c r="AO29" s="234"/>
      <c r="AP29" s="234"/>
      <c r="AQ29" s="234"/>
      <c r="AR29" s="235"/>
      <c r="AS29" s="54"/>
      <c r="AT29" s="143"/>
      <c r="AU29" s="241"/>
      <c r="AV29" s="234"/>
      <c r="AW29" s="234"/>
      <c r="AX29" s="234"/>
      <c r="AY29" s="235"/>
      <c r="AZ29" s="54"/>
      <c r="BA29" s="143"/>
      <c r="BB29" s="241"/>
      <c r="BC29" s="234"/>
      <c r="BD29" s="234"/>
      <c r="BE29" s="234"/>
      <c r="BF29" s="235"/>
      <c r="BG29" s="54"/>
      <c r="BH29" s="143"/>
      <c r="BI29" s="241"/>
      <c r="BJ29" s="234"/>
      <c r="BK29" s="234"/>
      <c r="BL29" s="234"/>
      <c r="BM29" s="235"/>
      <c r="BN29" s="54"/>
      <c r="BO29" s="143"/>
      <c r="BP29" s="241"/>
      <c r="BQ29" s="234"/>
      <c r="BR29" s="234"/>
      <c r="BS29" s="234"/>
      <c r="BT29" s="235"/>
      <c r="BU29" s="54"/>
      <c r="BV29" s="143"/>
      <c r="BW29" s="241"/>
      <c r="BX29" s="234"/>
      <c r="BY29" s="234"/>
      <c r="BZ29" s="234"/>
      <c r="CA29" s="235"/>
      <c r="CB29" s="54"/>
      <c r="CC29" s="143"/>
      <c r="CD29" s="241"/>
      <c r="CE29" s="234"/>
      <c r="CF29" s="234"/>
      <c r="CG29" s="234"/>
      <c r="CH29" s="235"/>
      <c r="CI29" s="54"/>
      <c r="CJ29" s="143"/>
      <c r="CK29" s="241"/>
      <c r="CL29" s="234"/>
      <c r="CM29" s="234"/>
      <c r="CN29" s="234"/>
      <c r="CO29" s="235"/>
      <c r="CP29">
        <f t="shared" si="9"/>
        <v>0</v>
      </c>
      <c r="CQ29">
        <f t="shared" si="10"/>
        <v>0</v>
      </c>
      <c r="CR29">
        <f t="shared" si="11"/>
        <v>0</v>
      </c>
      <c r="CS29">
        <f t="shared" si="12"/>
        <v>0</v>
      </c>
      <c r="CT29">
        <f t="shared" si="13"/>
        <v>0</v>
      </c>
      <c r="CU29">
        <f t="shared" si="14"/>
        <v>0</v>
      </c>
      <c r="CV29">
        <f t="shared" si="15"/>
        <v>0</v>
      </c>
      <c r="CW29">
        <f t="shared" si="16"/>
        <v>0</v>
      </c>
      <c r="CX29">
        <f t="shared" si="17"/>
        <v>0</v>
      </c>
      <c r="CY29">
        <f t="shared" si="18"/>
        <v>0</v>
      </c>
      <c r="CZ29">
        <f t="shared" si="19"/>
        <v>0</v>
      </c>
      <c r="DA29">
        <f t="shared" si="20"/>
        <v>0</v>
      </c>
    </row>
    <row r="30" spans="1:105" s="22" customFormat="1" ht="28.5" customHeight="1" x14ac:dyDescent="0.45">
      <c r="A30" s="56" t="s">
        <v>138</v>
      </c>
      <c r="B30" s="20" t="s">
        <v>22</v>
      </c>
      <c r="C30" s="277" t="s">
        <v>23</v>
      </c>
      <c r="D30" s="248"/>
      <c r="E30" s="259" t="s">
        <v>139</v>
      </c>
      <c r="F30" s="260"/>
      <c r="G30" s="260"/>
      <c r="H30" s="260"/>
      <c r="I30" s="261"/>
      <c r="J30" s="54"/>
      <c r="K30" s="145"/>
      <c r="L30" s="241"/>
      <c r="M30" s="234"/>
      <c r="N30" s="234"/>
      <c r="O30" s="234"/>
      <c r="P30" s="235"/>
      <c r="Q30" s="54"/>
      <c r="R30" s="145"/>
      <c r="S30" s="241"/>
      <c r="T30" s="234"/>
      <c r="U30" s="234"/>
      <c r="V30" s="234"/>
      <c r="W30" s="235"/>
      <c r="X30" s="54"/>
      <c r="Y30" s="145"/>
      <c r="Z30" s="241"/>
      <c r="AA30" s="234"/>
      <c r="AB30" s="234"/>
      <c r="AC30" s="234"/>
      <c r="AD30" s="235"/>
      <c r="AE30" s="54"/>
      <c r="AF30" s="145"/>
      <c r="AG30" s="241"/>
      <c r="AH30" s="234"/>
      <c r="AI30" s="234"/>
      <c r="AJ30" s="234"/>
      <c r="AK30" s="235"/>
      <c r="AL30" s="54"/>
      <c r="AM30" s="145"/>
      <c r="AN30" s="241"/>
      <c r="AO30" s="234"/>
      <c r="AP30" s="234"/>
      <c r="AQ30" s="234"/>
      <c r="AR30" s="235"/>
      <c r="AS30" s="54"/>
      <c r="AT30" s="145"/>
      <c r="AU30" s="241"/>
      <c r="AV30" s="234"/>
      <c r="AW30" s="234"/>
      <c r="AX30" s="234"/>
      <c r="AY30" s="235"/>
      <c r="AZ30" s="54"/>
      <c r="BA30" s="145"/>
      <c r="BB30" s="241"/>
      <c r="BC30" s="234"/>
      <c r="BD30" s="234"/>
      <c r="BE30" s="234"/>
      <c r="BF30" s="235"/>
      <c r="BG30" s="54"/>
      <c r="BH30" s="145"/>
      <c r="BI30" s="241"/>
      <c r="BJ30" s="234"/>
      <c r="BK30" s="234"/>
      <c r="BL30" s="234"/>
      <c r="BM30" s="235"/>
      <c r="BN30" s="54"/>
      <c r="BO30" s="145"/>
      <c r="BP30" s="241"/>
      <c r="BQ30" s="234"/>
      <c r="BR30" s="234"/>
      <c r="BS30" s="234"/>
      <c r="BT30" s="235"/>
      <c r="BU30" s="54"/>
      <c r="BV30" s="145"/>
      <c r="BW30" s="241"/>
      <c r="BX30" s="234"/>
      <c r="BY30" s="234"/>
      <c r="BZ30" s="234"/>
      <c r="CA30" s="235"/>
      <c r="CB30" s="54"/>
      <c r="CC30" s="145"/>
      <c r="CD30" s="241"/>
      <c r="CE30" s="234"/>
      <c r="CF30" s="234"/>
      <c r="CG30" s="234"/>
      <c r="CH30" s="235"/>
      <c r="CI30" s="54"/>
      <c r="CJ30" s="145"/>
      <c r="CK30" s="241"/>
      <c r="CL30" s="234"/>
      <c r="CM30" s="234"/>
      <c r="CN30" s="234"/>
      <c r="CO30" s="235"/>
      <c r="CP30">
        <f t="shared" si="9"/>
        <v>0</v>
      </c>
      <c r="CQ30">
        <f t="shared" si="10"/>
        <v>0</v>
      </c>
      <c r="CR30">
        <f t="shared" si="11"/>
        <v>0</v>
      </c>
      <c r="CS30">
        <f t="shared" si="12"/>
        <v>0</v>
      </c>
      <c r="CT30">
        <f t="shared" si="13"/>
        <v>0</v>
      </c>
      <c r="CU30">
        <f t="shared" si="14"/>
        <v>0</v>
      </c>
      <c r="CV30">
        <f t="shared" si="15"/>
        <v>0</v>
      </c>
      <c r="CW30">
        <f t="shared" si="16"/>
        <v>0</v>
      </c>
      <c r="CX30">
        <f t="shared" si="17"/>
        <v>0</v>
      </c>
      <c r="CY30">
        <f t="shared" si="18"/>
        <v>0</v>
      </c>
      <c r="CZ30">
        <f t="shared" si="19"/>
        <v>0</v>
      </c>
      <c r="DA30">
        <f t="shared" si="20"/>
        <v>0</v>
      </c>
    </row>
    <row r="31" spans="1:105" s="22" customFormat="1" ht="28.5" customHeight="1" x14ac:dyDescent="0.45">
      <c r="A31" s="56" t="s">
        <v>140</v>
      </c>
      <c r="B31" s="24"/>
      <c r="C31" s="267"/>
      <c r="D31" s="260"/>
      <c r="E31" s="283" t="s">
        <v>141</v>
      </c>
      <c r="F31" s="234"/>
      <c r="G31" s="234"/>
      <c r="H31" s="234"/>
      <c r="I31" s="235"/>
      <c r="J31" s="54"/>
      <c r="K31" s="143"/>
      <c r="L31" s="241"/>
      <c r="M31" s="234"/>
      <c r="N31" s="234"/>
      <c r="O31" s="234"/>
      <c r="P31" s="235"/>
      <c r="Q31" s="54"/>
      <c r="R31" s="143"/>
      <c r="S31" s="241"/>
      <c r="T31" s="234"/>
      <c r="U31" s="234"/>
      <c r="V31" s="234"/>
      <c r="W31" s="235"/>
      <c r="X31" s="54"/>
      <c r="Y31" s="143"/>
      <c r="Z31" s="241"/>
      <c r="AA31" s="234"/>
      <c r="AB31" s="234"/>
      <c r="AC31" s="234"/>
      <c r="AD31" s="235"/>
      <c r="AE31" s="54"/>
      <c r="AF31" s="143"/>
      <c r="AG31" s="241"/>
      <c r="AH31" s="234"/>
      <c r="AI31" s="234"/>
      <c r="AJ31" s="234"/>
      <c r="AK31" s="235"/>
      <c r="AL31" s="54"/>
      <c r="AM31" s="143"/>
      <c r="AN31" s="241"/>
      <c r="AO31" s="234"/>
      <c r="AP31" s="234"/>
      <c r="AQ31" s="234"/>
      <c r="AR31" s="235"/>
      <c r="AS31" s="54"/>
      <c r="AT31" s="143"/>
      <c r="AU31" s="241"/>
      <c r="AV31" s="234"/>
      <c r="AW31" s="234"/>
      <c r="AX31" s="234"/>
      <c r="AY31" s="235"/>
      <c r="AZ31" s="54"/>
      <c r="BA31" s="143"/>
      <c r="BB31" s="241"/>
      <c r="BC31" s="234"/>
      <c r="BD31" s="234"/>
      <c r="BE31" s="234"/>
      <c r="BF31" s="235"/>
      <c r="BG31" s="54"/>
      <c r="BH31" s="143"/>
      <c r="BI31" s="241"/>
      <c r="BJ31" s="234"/>
      <c r="BK31" s="234"/>
      <c r="BL31" s="234"/>
      <c r="BM31" s="235"/>
      <c r="BN31" s="54"/>
      <c r="BO31" s="143"/>
      <c r="BP31" s="241"/>
      <c r="BQ31" s="234"/>
      <c r="BR31" s="234"/>
      <c r="BS31" s="234"/>
      <c r="BT31" s="235"/>
      <c r="BU31" s="54"/>
      <c r="BV31" s="143"/>
      <c r="BW31" s="241"/>
      <c r="BX31" s="234"/>
      <c r="BY31" s="234"/>
      <c r="BZ31" s="234"/>
      <c r="CA31" s="235"/>
      <c r="CB31" s="54"/>
      <c r="CC31" s="143"/>
      <c r="CD31" s="241"/>
      <c r="CE31" s="234"/>
      <c r="CF31" s="234"/>
      <c r="CG31" s="234"/>
      <c r="CH31" s="235"/>
      <c r="CI31" s="54"/>
      <c r="CJ31" s="143"/>
      <c r="CK31" s="241"/>
      <c r="CL31" s="234"/>
      <c r="CM31" s="234"/>
      <c r="CN31" s="234"/>
      <c r="CO31" s="235"/>
      <c r="CP31">
        <f t="shared" si="9"/>
        <v>0</v>
      </c>
      <c r="CQ31">
        <f t="shared" si="10"/>
        <v>0</v>
      </c>
      <c r="CR31">
        <f t="shared" si="11"/>
        <v>0</v>
      </c>
      <c r="CS31">
        <f t="shared" si="12"/>
        <v>0</v>
      </c>
      <c r="CT31">
        <f t="shared" si="13"/>
        <v>0</v>
      </c>
      <c r="CU31">
        <f t="shared" si="14"/>
        <v>0</v>
      </c>
      <c r="CV31">
        <f t="shared" si="15"/>
        <v>0</v>
      </c>
      <c r="CW31">
        <f t="shared" si="16"/>
        <v>0</v>
      </c>
      <c r="CX31">
        <f t="shared" si="17"/>
        <v>0</v>
      </c>
      <c r="CY31">
        <f t="shared" si="18"/>
        <v>0</v>
      </c>
      <c r="CZ31">
        <f t="shared" si="19"/>
        <v>0</v>
      </c>
      <c r="DA31">
        <f t="shared" si="20"/>
        <v>0</v>
      </c>
    </row>
    <row r="32" spans="1:105" s="22" customFormat="1" ht="28.5" customHeight="1" x14ac:dyDescent="0.45">
      <c r="A32" s="56" t="s">
        <v>142</v>
      </c>
      <c r="B32" s="61" t="s">
        <v>25</v>
      </c>
      <c r="C32" s="276" t="s">
        <v>26</v>
      </c>
      <c r="D32" s="234"/>
      <c r="E32" s="283" t="s">
        <v>143</v>
      </c>
      <c r="F32" s="234"/>
      <c r="G32" s="234"/>
      <c r="H32" s="234"/>
      <c r="I32" s="235"/>
      <c r="J32" s="54"/>
      <c r="K32" s="143"/>
      <c r="L32" s="275"/>
      <c r="M32" s="260"/>
      <c r="N32" s="260"/>
      <c r="O32" s="260"/>
      <c r="P32" s="261"/>
      <c r="Q32" s="54"/>
      <c r="R32" s="143"/>
      <c r="S32" s="275"/>
      <c r="T32" s="260"/>
      <c r="U32" s="260"/>
      <c r="V32" s="260"/>
      <c r="W32" s="261"/>
      <c r="X32" s="54"/>
      <c r="Y32" s="143"/>
      <c r="Z32" s="275"/>
      <c r="AA32" s="260"/>
      <c r="AB32" s="260"/>
      <c r="AC32" s="260"/>
      <c r="AD32" s="261"/>
      <c r="AE32" s="54"/>
      <c r="AF32" s="143"/>
      <c r="AG32" s="275"/>
      <c r="AH32" s="260"/>
      <c r="AI32" s="260"/>
      <c r="AJ32" s="260"/>
      <c r="AK32" s="261"/>
      <c r="AL32" s="54"/>
      <c r="AM32" s="143"/>
      <c r="AN32" s="275"/>
      <c r="AO32" s="260"/>
      <c r="AP32" s="260"/>
      <c r="AQ32" s="260"/>
      <c r="AR32" s="261"/>
      <c r="AS32" s="54"/>
      <c r="AT32" s="143"/>
      <c r="AU32" s="275"/>
      <c r="AV32" s="260"/>
      <c r="AW32" s="260"/>
      <c r="AX32" s="260"/>
      <c r="AY32" s="261"/>
      <c r="AZ32" s="54"/>
      <c r="BA32" s="143"/>
      <c r="BB32" s="275"/>
      <c r="BC32" s="260"/>
      <c r="BD32" s="260"/>
      <c r="BE32" s="260"/>
      <c r="BF32" s="261"/>
      <c r="BG32" s="54"/>
      <c r="BH32" s="143"/>
      <c r="BI32" s="275"/>
      <c r="BJ32" s="260"/>
      <c r="BK32" s="260"/>
      <c r="BL32" s="260"/>
      <c r="BM32" s="261"/>
      <c r="BN32" s="54"/>
      <c r="BO32" s="143"/>
      <c r="BP32" s="275"/>
      <c r="BQ32" s="260"/>
      <c r="BR32" s="260"/>
      <c r="BS32" s="260"/>
      <c r="BT32" s="261"/>
      <c r="BU32" s="54"/>
      <c r="BV32" s="143"/>
      <c r="BW32" s="275"/>
      <c r="BX32" s="260"/>
      <c r="BY32" s="260"/>
      <c r="BZ32" s="260"/>
      <c r="CA32" s="261"/>
      <c r="CB32" s="54"/>
      <c r="CC32" s="143"/>
      <c r="CD32" s="275"/>
      <c r="CE32" s="260"/>
      <c r="CF32" s="260"/>
      <c r="CG32" s="260"/>
      <c r="CH32" s="261"/>
      <c r="CI32" s="54"/>
      <c r="CJ32" s="143"/>
      <c r="CK32" s="275"/>
      <c r="CL32" s="260"/>
      <c r="CM32" s="260"/>
      <c r="CN32" s="260"/>
      <c r="CO32" s="261"/>
      <c r="CP32">
        <f t="shared" si="9"/>
        <v>0</v>
      </c>
      <c r="CQ32">
        <f t="shared" si="10"/>
        <v>0</v>
      </c>
      <c r="CR32">
        <f t="shared" si="11"/>
        <v>0</v>
      </c>
      <c r="CS32">
        <f t="shared" si="12"/>
        <v>0</v>
      </c>
      <c r="CT32">
        <f t="shared" si="13"/>
        <v>0</v>
      </c>
      <c r="CU32">
        <f t="shared" si="14"/>
        <v>0</v>
      </c>
      <c r="CV32">
        <f t="shared" si="15"/>
        <v>0</v>
      </c>
      <c r="CW32">
        <f t="shared" si="16"/>
        <v>0</v>
      </c>
      <c r="CX32">
        <f t="shared" si="17"/>
        <v>0</v>
      </c>
      <c r="CY32">
        <f t="shared" si="18"/>
        <v>0</v>
      </c>
      <c r="CZ32">
        <f t="shared" si="19"/>
        <v>0</v>
      </c>
      <c r="DA32">
        <f t="shared" si="20"/>
        <v>0</v>
      </c>
    </row>
    <row r="33" spans="1:105" s="22" customFormat="1" ht="28.5" customHeight="1" x14ac:dyDescent="0.45">
      <c r="A33" s="56" t="s">
        <v>144</v>
      </c>
      <c r="B33" s="20" t="s">
        <v>28</v>
      </c>
      <c r="C33" s="277" t="s">
        <v>145</v>
      </c>
      <c r="D33" s="248"/>
      <c r="E33" s="259" t="s">
        <v>146</v>
      </c>
      <c r="F33" s="260"/>
      <c r="G33" s="260"/>
      <c r="H33" s="260"/>
      <c r="I33" s="261"/>
      <c r="J33" s="54"/>
      <c r="K33" s="145"/>
      <c r="L33" s="241"/>
      <c r="M33" s="234"/>
      <c r="N33" s="234"/>
      <c r="O33" s="234"/>
      <c r="P33" s="235"/>
      <c r="Q33" s="54"/>
      <c r="R33" s="145"/>
      <c r="S33" s="241"/>
      <c r="T33" s="234"/>
      <c r="U33" s="234"/>
      <c r="V33" s="234"/>
      <c r="W33" s="235"/>
      <c r="X33" s="54"/>
      <c r="Y33" s="145"/>
      <c r="Z33" s="241"/>
      <c r="AA33" s="234"/>
      <c r="AB33" s="234"/>
      <c r="AC33" s="234"/>
      <c r="AD33" s="235"/>
      <c r="AE33" s="54"/>
      <c r="AF33" s="145"/>
      <c r="AG33" s="241"/>
      <c r="AH33" s="234"/>
      <c r="AI33" s="234"/>
      <c r="AJ33" s="234"/>
      <c r="AK33" s="235"/>
      <c r="AL33" s="54"/>
      <c r="AM33" s="145"/>
      <c r="AN33" s="241"/>
      <c r="AO33" s="234"/>
      <c r="AP33" s="234"/>
      <c r="AQ33" s="234"/>
      <c r="AR33" s="235"/>
      <c r="AS33" s="54"/>
      <c r="AT33" s="145"/>
      <c r="AU33" s="241"/>
      <c r="AV33" s="234"/>
      <c r="AW33" s="234"/>
      <c r="AX33" s="234"/>
      <c r="AY33" s="235"/>
      <c r="AZ33" s="54"/>
      <c r="BA33" s="145"/>
      <c r="BB33" s="241"/>
      <c r="BC33" s="234"/>
      <c r="BD33" s="234"/>
      <c r="BE33" s="234"/>
      <c r="BF33" s="235"/>
      <c r="BG33" s="54"/>
      <c r="BH33" s="145"/>
      <c r="BI33" s="241"/>
      <c r="BJ33" s="234"/>
      <c r="BK33" s="234"/>
      <c r="BL33" s="234"/>
      <c r="BM33" s="235"/>
      <c r="BN33" s="54"/>
      <c r="BO33" s="145"/>
      <c r="BP33" s="241"/>
      <c r="BQ33" s="234"/>
      <c r="BR33" s="234"/>
      <c r="BS33" s="234"/>
      <c r="BT33" s="235"/>
      <c r="BU33" s="54"/>
      <c r="BV33" s="145"/>
      <c r="BW33" s="241"/>
      <c r="BX33" s="234"/>
      <c r="BY33" s="234"/>
      <c r="BZ33" s="234"/>
      <c r="CA33" s="235"/>
      <c r="CB33" s="54"/>
      <c r="CC33" s="145"/>
      <c r="CD33" s="241"/>
      <c r="CE33" s="234"/>
      <c r="CF33" s="234"/>
      <c r="CG33" s="234"/>
      <c r="CH33" s="235"/>
      <c r="CI33" s="54"/>
      <c r="CJ33" s="145"/>
      <c r="CK33" s="241"/>
      <c r="CL33" s="234"/>
      <c r="CM33" s="234"/>
      <c r="CN33" s="234"/>
      <c r="CO33" s="235"/>
      <c r="CP33">
        <f t="shared" si="9"/>
        <v>0</v>
      </c>
      <c r="CQ33">
        <f t="shared" si="10"/>
        <v>0</v>
      </c>
      <c r="CR33">
        <f t="shared" si="11"/>
        <v>0</v>
      </c>
      <c r="CS33">
        <f t="shared" si="12"/>
        <v>0</v>
      </c>
      <c r="CT33">
        <f t="shared" si="13"/>
        <v>0</v>
      </c>
      <c r="CU33">
        <f t="shared" si="14"/>
        <v>0</v>
      </c>
      <c r="CV33">
        <f t="shared" si="15"/>
        <v>0</v>
      </c>
      <c r="CW33">
        <f t="shared" si="16"/>
        <v>0</v>
      </c>
      <c r="CX33">
        <f t="shared" si="17"/>
        <v>0</v>
      </c>
      <c r="CY33">
        <f t="shared" si="18"/>
        <v>0</v>
      </c>
      <c r="CZ33">
        <f t="shared" si="19"/>
        <v>0</v>
      </c>
      <c r="DA33">
        <f t="shared" si="20"/>
        <v>0</v>
      </c>
    </row>
    <row r="34" spans="1:105" s="22" customFormat="1" ht="28.5" customHeight="1" x14ac:dyDescent="0.45">
      <c r="A34" s="56" t="s">
        <v>147</v>
      </c>
      <c r="B34" s="20"/>
      <c r="C34" s="277"/>
      <c r="D34" s="248"/>
      <c r="E34" s="283" t="s">
        <v>148</v>
      </c>
      <c r="F34" s="234"/>
      <c r="G34" s="234"/>
      <c r="H34" s="234"/>
      <c r="I34" s="235"/>
      <c r="J34" s="54"/>
      <c r="K34" s="145"/>
      <c r="L34" s="241"/>
      <c r="M34" s="234"/>
      <c r="N34" s="234"/>
      <c r="O34" s="234"/>
      <c r="P34" s="235"/>
      <c r="Q34" s="54"/>
      <c r="R34" s="145"/>
      <c r="S34" s="241"/>
      <c r="T34" s="234"/>
      <c r="U34" s="234"/>
      <c r="V34" s="234"/>
      <c r="W34" s="235"/>
      <c r="X34" s="54"/>
      <c r="Y34" s="145"/>
      <c r="Z34" s="241"/>
      <c r="AA34" s="234"/>
      <c r="AB34" s="234"/>
      <c r="AC34" s="234"/>
      <c r="AD34" s="235"/>
      <c r="AE34" s="54"/>
      <c r="AF34" s="145"/>
      <c r="AG34" s="241"/>
      <c r="AH34" s="234"/>
      <c r="AI34" s="234"/>
      <c r="AJ34" s="234"/>
      <c r="AK34" s="235"/>
      <c r="AL34" s="54"/>
      <c r="AM34" s="145"/>
      <c r="AN34" s="241"/>
      <c r="AO34" s="234"/>
      <c r="AP34" s="234"/>
      <c r="AQ34" s="234"/>
      <c r="AR34" s="235"/>
      <c r="AS34" s="54"/>
      <c r="AT34" s="145"/>
      <c r="AU34" s="241"/>
      <c r="AV34" s="234"/>
      <c r="AW34" s="234"/>
      <c r="AX34" s="234"/>
      <c r="AY34" s="235"/>
      <c r="AZ34" s="54"/>
      <c r="BA34" s="145"/>
      <c r="BB34" s="241"/>
      <c r="BC34" s="234"/>
      <c r="BD34" s="234"/>
      <c r="BE34" s="234"/>
      <c r="BF34" s="235"/>
      <c r="BG34" s="54"/>
      <c r="BH34" s="145"/>
      <c r="BI34" s="241"/>
      <c r="BJ34" s="234"/>
      <c r="BK34" s="234"/>
      <c r="BL34" s="234"/>
      <c r="BM34" s="235"/>
      <c r="BN34" s="54"/>
      <c r="BO34" s="145"/>
      <c r="BP34" s="241"/>
      <c r="BQ34" s="234"/>
      <c r="BR34" s="234"/>
      <c r="BS34" s="234"/>
      <c r="BT34" s="235"/>
      <c r="BU34" s="54"/>
      <c r="BV34" s="145"/>
      <c r="BW34" s="241"/>
      <c r="BX34" s="234"/>
      <c r="BY34" s="234"/>
      <c r="BZ34" s="234"/>
      <c r="CA34" s="235"/>
      <c r="CB34" s="54"/>
      <c r="CC34" s="145"/>
      <c r="CD34" s="241"/>
      <c r="CE34" s="234"/>
      <c r="CF34" s="234"/>
      <c r="CG34" s="234"/>
      <c r="CH34" s="235"/>
      <c r="CI34" s="54"/>
      <c r="CJ34" s="145"/>
      <c r="CK34" s="241"/>
      <c r="CL34" s="234"/>
      <c r="CM34" s="234"/>
      <c r="CN34" s="234"/>
      <c r="CO34" s="235"/>
      <c r="CP34">
        <f t="shared" si="9"/>
        <v>0</v>
      </c>
      <c r="CQ34">
        <f t="shared" si="10"/>
        <v>0</v>
      </c>
      <c r="CR34">
        <f t="shared" si="11"/>
        <v>0</v>
      </c>
      <c r="CS34">
        <f t="shared" si="12"/>
        <v>0</v>
      </c>
      <c r="CT34">
        <f t="shared" si="13"/>
        <v>0</v>
      </c>
      <c r="CU34">
        <f t="shared" si="14"/>
        <v>0</v>
      </c>
      <c r="CV34">
        <f t="shared" si="15"/>
        <v>0</v>
      </c>
      <c r="CW34">
        <f t="shared" si="16"/>
        <v>0</v>
      </c>
      <c r="CX34">
        <f t="shared" si="17"/>
        <v>0</v>
      </c>
      <c r="CY34">
        <f t="shared" si="18"/>
        <v>0</v>
      </c>
      <c r="CZ34">
        <f t="shared" si="19"/>
        <v>0</v>
      </c>
      <c r="DA34">
        <f t="shared" si="20"/>
        <v>0</v>
      </c>
    </row>
    <row r="35" spans="1:105" s="22" customFormat="1" ht="28.5" customHeight="1" x14ac:dyDescent="0.45">
      <c r="A35" s="56" t="s">
        <v>149</v>
      </c>
      <c r="B35" s="25"/>
      <c r="C35" s="277"/>
      <c r="D35" s="248"/>
      <c r="E35" s="285" t="s">
        <v>150</v>
      </c>
      <c r="F35" s="234"/>
      <c r="G35" s="234"/>
      <c r="H35" s="234"/>
      <c r="I35" s="235"/>
      <c r="J35" s="42"/>
      <c r="K35" s="143"/>
      <c r="L35" s="247"/>
      <c r="M35" s="248"/>
      <c r="N35" s="248"/>
      <c r="O35" s="248"/>
      <c r="P35" s="249"/>
      <c r="Q35" s="42"/>
      <c r="R35" s="143"/>
      <c r="S35" s="247"/>
      <c r="T35" s="248"/>
      <c r="U35" s="248"/>
      <c r="V35" s="248"/>
      <c r="W35" s="249"/>
      <c r="X35" s="42"/>
      <c r="Y35" s="143"/>
      <c r="Z35" s="247"/>
      <c r="AA35" s="248"/>
      <c r="AB35" s="248"/>
      <c r="AC35" s="248"/>
      <c r="AD35" s="249"/>
      <c r="AE35" s="42"/>
      <c r="AF35" s="143"/>
      <c r="AG35" s="247"/>
      <c r="AH35" s="248"/>
      <c r="AI35" s="248"/>
      <c r="AJ35" s="248"/>
      <c r="AK35" s="249"/>
      <c r="AL35" s="42"/>
      <c r="AM35" s="143"/>
      <c r="AN35" s="247"/>
      <c r="AO35" s="248"/>
      <c r="AP35" s="248"/>
      <c r="AQ35" s="248"/>
      <c r="AR35" s="249"/>
      <c r="AS35" s="42"/>
      <c r="AT35" s="143"/>
      <c r="AU35" s="247"/>
      <c r="AV35" s="248"/>
      <c r="AW35" s="248"/>
      <c r="AX35" s="248"/>
      <c r="AY35" s="249"/>
      <c r="AZ35" s="42"/>
      <c r="BA35" s="143"/>
      <c r="BB35" s="247"/>
      <c r="BC35" s="248"/>
      <c r="BD35" s="248"/>
      <c r="BE35" s="248"/>
      <c r="BF35" s="249"/>
      <c r="BG35" s="42"/>
      <c r="BH35" s="143"/>
      <c r="BI35" s="247"/>
      <c r="BJ35" s="248"/>
      <c r="BK35" s="248"/>
      <c r="BL35" s="248"/>
      <c r="BM35" s="249"/>
      <c r="BN35" s="42"/>
      <c r="BO35" s="143"/>
      <c r="BP35" s="247"/>
      <c r="BQ35" s="248"/>
      <c r="BR35" s="248"/>
      <c r="BS35" s="248"/>
      <c r="BT35" s="249"/>
      <c r="BU35" s="42"/>
      <c r="BV35" s="143"/>
      <c r="BW35" s="247"/>
      <c r="BX35" s="248"/>
      <c r="BY35" s="248"/>
      <c r="BZ35" s="248"/>
      <c r="CA35" s="249"/>
      <c r="CB35" s="42"/>
      <c r="CC35" s="143"/>
      <c r="CD35" s="247"/>
      <c r="CE35" s="248"/>
      <c r="CF35" s="248"/>
      <c r="CG35" s="248"/>
      <c r="CH35" s="249"/>
      <c r="CI35" s="42"/>
      <c r="CJ35" s="143"/>
      <c r="CK35" s="247"/>
      <c r="CL35" s="248"/>
      <c r="CM35" s="248"/>
      <c r="CN35" s="248"/>
      <c r="CO35" s="249"/>
    </row>
    <row r="36" spans="1:105" s="22" customFormat="1" ht="28.5" customHeight="1" x14ac:dyDescent="0.45">
      <c r="A36" s="56" t="s">
        <v>151</v>
      </c>
      <c r="B36" s="20" t="s">
        <v>38</v>
      </c>
      <c r="C36" s="277" t="s">
        <v>303</v>
      </c>
      <c r="D36" s="248"/>
      <c r="E36" s="259" t="s">
        <v>152</v>
      </c>
      <c r="F36" s="260"/>
      <c r="G36" s="260"/>
      <c r="H36" s="260"/>
      <c r="I36" s="261"/>
      <c r="J36" s="54"/>
      <c r="K36" s="145"/>
      <c r="L36" s="241"/>
      <c r="M36" s="234"/>
      <c r="N36" s="234"/>
      <c r="O36" s="234"/>
      <c r="P36" s="235"/>
      <c r="Q36" s="54"/>
      <c r="R36" s="145"/>
      <c r="S36" s="241"/>
      <c r="T36" s="234"/>
      <c r="U36" s="234"/>
      <c r="V36" s="234"/>
      <c r="W36" s="235"/>
      <c r="X36" s="54"/>
      <c r="Y36" s="145"/>
      <c r="Z36" s="241"/>
      <c r="AA36" s="234"/>
      <c r="AB36" s="234"/>
      <c r="AC36" s="234"/>
      <c r="AD36" s="235"/>
      <c r="AE36" s="54"/>
      <c r="AF36" s="145"/>
      <c r="AG36" s="241"/>
      <c r="AH36" s="234"/>
      <c r="AI36" s="234"/>
      <c r="AJ36" s="234"/>
      <c r="AK36" s="235"/>
      <c r="AL36" s="54"/>
      <c r="AM36" s="145"/>
      <c r="AN36" s="241"/>
      <c r="AO36" s="234"/>
      <c r="AP36" s="234"/>
      <c r="AQ36" s="234"/>
      <c r="AR36" s="235"/>
      <c r="AS36" s="54"/>
      <c r="AT36" s="145"/>
      <c r="AU36" s="241"/>
      <c r="AV36" s="234"/>
      <c r="AW36" s="234"/>
      <c r="AX36" s="234"/>
      <c r="AY36" s="235"/>
      <c r="AZ36" s="54"/>
      <c r="BA36" s="145"/>
      <c r="BB36" s="241"/>
      <c r="BC36" s="234"/>
      <c r="BD36" s="234"/>
      <c r="BE36" s="234"/>
      <c r="BF36" s="235"/>
      <c r="BG36" s="54"/>
      <c r="BH36" s="145"/>
      <c r="BI36" s="241"/>
      <c r="BJ36" s="234"/>
      <c r="BK36" s="234"/>
      <c r="BL36" s="234"/>
      <c r="BM36" s="235"/>
      <c r="BN36" s="54"/>
      <c r="BO36" s="145"/>
      <c r="BP36" s="241"/>
      <c r="BQ36" s="234"/>
      <c r="BR36" s="234"/>
      <c r="BS36" s="234"/>
      <c r="BT36" s="235"/>
      <c r="BU36" s="54"/>
      <c r="BV36" s="145"/>
      <c r="BW36" s="241"/>
      <c r="BX36" s="234"/>
      <c r="BY36" s="234"/>
      <c r="BZ36" s="234"/>
      <c r="CA36" s="235"/>
      <c r="CB36" s="54"/>
      <c r="CC36" s="145"/>
      <c r="CD36" s="241"/>
      <c r="CE36" s="234"/>
      <c r="CF36" s="234"/>
      <c r="CG36" s="234"/>
      <c r="CH36" s="235"/>
      <c r="CI36" s="54"/>
      <c r="CJ36" s="145"/>
      <c r="CK36" s="241"/>
      <c r="CL36" s="234"/>
      <c r="CM36" s="234"/>
      <c r="CN36" s="234"/>
      <c r="CO36" s="235"/>
      <c r="CP36">
        <f>IF(J36="нет",1,0)</f>
        <v>0</v>
      </c>
      <c r="CQ36">
        <f>IF(Q36="нет",1,0)</f>
        <v>0</v>
      </c>
      <c r="CR36">
        <f>IF(X36="нет",1,0)</f>
        <v>0</v>
      </c>
      <c r="CS36">
        <f>IF(AE36="нет",1,0)</f>
        <v>0</v>
      </c>
      <c r="CT36">
        <f>IF(AL36="нет",1,0)</f>
        <v>0</v>
      </c>
      <c r="CU36">
        <f>IF(AS36="нет",1,0)</f>
        <v>0</v>
      </c>
      <c r="CV36">
        <f>IF(AZ36="нет",1,0)</f>
        <v>0</v>
      </c>
      <c r="CW36">
        <f>IF(BG36="нет",1,0)</f>
        <v>0</v>
      </c>
      <c r="CX36">
        <f>IF(BN36="нет",1,0)</f>
        <v>0</v>
      </c>
      <c r="CY36">
        <f>IF(BU36="нет",1,0)</f>
        <v>0</v>
      </c>
      <c r="CZ36">
        <f>IF(CB36="нет",1,0)</f>
        <v>0</v>
      </c>
      <c r="DA36">
        <f>IF(CI36="нет",1,0)</f>
        <v>0</v>
      </c>
    </row>
    <row r="37" spans="1:105" s="22" customFormat="1" ht="28.5" customHeight="1" x14ac:dyDescent="0.45">
      <c r="A37" s="56" t="s">
        <v>153</v>
      </c>
      <c r="B37" s="24"/>
      <c r="C37" s="169"/>
      <c r="D37" s="171"/>
      <c r="E37" s="283" t="s">
        <v>154</v>
      </c>
      <c r="F37" s="234"/>
      <c r="G37" s="234"/>
      <c r="H37" s="234"/>
      <c r="I37" s="245"/>
      <c r="J37" s="54"/>
      <c r="K37" s="143"/>
      <c r="L37" s="241"/>
      <c r="M37" s="234"/>
      <c r="N37" s="234"/>
      <c r="O37" s="234"/>
      <c r="P37" s="235"/>
      <c r="Q37" s="54"/>
      <c r="R37" s="143"/>
      <c r="S37" s="241"/>
      <c r="T37" s="234"/>
      <c r="U37" s="234"/>
      <c r="V37" s="234"/>
      <c r="W37" s="235"/>
      <c r="X37" s="54"/>
      <c r="Y37" s="143"/>
      <c r="Z37" s="241"/>
      <c r="AA37" s="234"/>
      <c r="AB37" s="234"/>
      <c r="AC37" s="234"/>
      <c r="AD37" s="235"/>
      <c r="AE37" s="54"/>
      <c r="AF37" s="143"/>
      <c r="AG37" s="241"/>
      <c r="AH37" s="234"/>
      <c r="AI37" s="234"/>
      <c r="AJ37" s="234"/>
      <c r="AK37" s="235"/>
      <c r="AL37" s="54"/>
      <c r="AM37" s="143"/>
      <c r="AN37" s="241"/>
      <c r="AO37" s="234"/>
      <c r="AP37" s="234"/>
      <c r="AQ37" s="234"/>
      <c r="AR37" s="235"/>
      <c r="AS37" s="54"/>
      <c r="AT37" s="143"/>
      <c r="AU37" s="241"/>
      <c r="AV37" s="234"/>
      <c r="AW37" s="234"/>
      <c r="AX37" s="234"/>
      <c r="AY37" s="235"/>
      <c r="AZ37" s="54"/>
      <c r="BA37" s="143"/>
      <c r="BB37" s="241"/>
      <c r="BC37" s="234"/>
      <c r="BD37" s="234"/>
      <c r="BE37" s="234"/>
      <c r="BF37" s="235"/>
      <c r="BG37" s="54"/>
      <c r="BH37" s="143"/>
      <c r="BI37" s="241"/>
      <c r="BJ37" s="234"/>
      <c r="BK37" s="234"/>
      <c r="BL37" s="234"/>
      <c r="BM37" s="235"/>
      <c r="BN37" s="54"/>
      <c r="BO37" s="143"/>
      <c r="BP37" s="241"/>
      <c r="BQ37" s="234"/>
      <c r="BR37" s="234"/>
      <c r="BS37" s="234"/>
      <c r="BT37" s="235"/>
      <c r="BU37" s="54"/>
      <c r="BV37" s="143"/>
      <c r="BW37" s="241"/>
      <c r="BX37" s="234"/>
      <c r="BY37" s="234"/>
      <c r="BZ37" s="234"/>
      <c r="CA37" s="235"/>
      <c r="CB37" s="54"/>
      <c r="CC37" s="143"/>
      <c r="CD37" s="241"/>
      <c r="CE37" s="234"/>
      <c r="CF37" s="234"/>
      <c r="CG37" s="234"/>
      <c r="CH37" s="235"/>
      <c r="CI37" s="54"/>
      <c r="CJ37" s="143"/>
      <c r="CK37" s="241"/>
      <c r="CL37" s="234"/>
      <c r="CM37" s="234"/>
      <c r="CN37" s="234"/>
      <c r="CO37" s="235"/>
      <c r="CP37">
        <f>IF(J37="нет",1,0)</f>
        <v>0</v>
      </c>
      <c r="CQ37">
        <f>IF(Q37="нет",1,0)</f>
        <v>0</v>
      </c>
      <c r="CR37">
        <f>IF(X37="нет",1,0)</f>
        <v>0</v>
      </c>
      <c r="CS37">
        <f>IF(AE37="нет",1,0)</f>
        <v>0</v>
      </c>
      <c r="CT37">
        <f>IF(AL37="нет",1,0)</f>
        <v>0</v>
      </c>
      <c r="CU37">
        <f>IF(AS37="нет",1,0)</f>
        <v>0</v>
      </c>
      <c r="CV37">
        <f>IF(AZ37="нет",1,0)</f>
        <v>0</v>
      </c>
      <c r="CW37">
        <f>IF(BG37="нет",1,0)</f>
        <v>0</v>
      </c>
      <c r="CX37">
        <f>IF(BN37="нет",1,0)</f>
        <v>0</v>
      </c>
      <c r="CY37">
        <f>IF(BU37="нет",1,0)</f>
        <v>0</v>
      </c>
      <c r="CZ37">
        <f>IF(CB37="нет",1,0)</f>
        <v>0</v>
      </c>
      <c r="DA37">
        <f>IF(CI37="нет",1,0)</f>
        <v>0</v>
      </c>
    </row>
    <row r="38" spans="1:105" s="22" customFormat="1" ht="28.5" customHeight="1" x14ac:dyDescent="0.45">
      <c r="A38" s="56" t="s">
        <v>155</v>
      </c>
      <c r="B38" s="20" t="s">
        <v>44</v>
      </c>
      <c r="C38" s="277" t="s">
        <v>45</v>
      </c>
      <c r="D38" s="248"/>
      <c r="E38" s="259" t="s">
        <v>156</v>
      </c>
      <c r="F38" s="260"/>
      <c r="G38" s="260"/>
      <c r="H38" s="260"/>
      <c r="I38" s="261"/>
      <c r="J38" s="54"/>
      <c r="K38" s="145"/>
      <c r="L38" s="241"/>
      <c r="M38" s="234"/>
      <c r="N38" s="234"/>
      <c r="O38" s="234"/>
      <c r="P38" s="235"/>
      <c r="Q38" s="54"/>
      <c r="R38" s="145"/>
      <c r="S38" s="241"/>
      <c r="T38" s="234"/>
      <c r="U38" s="234"/>
      <c r="V38" s="234"/>
      <c r="W38" s="235"/>
      <c r="X38" s="54"/>
      <c r="Y38" s="145"/>
      <c r="Z38" s="241"/>
      <c r="AA38" s="234"/>
      <c r="AB38" s="234"/>
      <c r="AC38" s="234"/>
      <c r="AD38" s="235"/>
      <c r="AE38" s="54"/>
      <c r="AF38" s="145"/>
      <c r="AG38" s="241"/>
      <c r="AH38" s="234"/>
      <c r="AI38" s="234"/>
      <c r="AJ38" s="234"/>
      <c r="AK38" s="235"/>
      <c r="AL38" s="54"/>
      <c r="AM38" s="145"/>
      <c r="AN38" s="241"/>
      <c r="AO38" s="234"/>
      <c r="AP38" s="234"/>
      <c r="AQ38" s="234"/>
      <c r="AR38" s="235"/>
      <c r="AS38" s="54"/>
      <c r="AT38" s="145"/>
      <c r="AU38" s="241"/>
      <c r="AV38" s="234"/>
      <c r="AW38" s="234"/>
      <c r="AX38" s="234"/>
      <c r="AY38" s="235"/>
      <c r="AZ38" s="54"/>
      <c r="BA38" s="145"/>
      <c r="BB38" s="241"/>
      <c r="BC38" s="234"/>
      <c r="BD38" s="234"/>
      <c r="BE38" s="234"/>
      <c r="BF38" s="235"/>
      <c r="BG38" s="54"/>
      <c r="BH38" s="145"/>
      <c r="BI38" s="241"/>
      <c r="BJ38" s="234"/>
      <c r="BK38" s="234"/>
      <c r="BL38" s="234"/>
      <c r="BM38" s="235"/>
      <c r="BN38" s="54"/>
      <c r="BO38" s="145"/>
      <c r="BP38" s="241"/>
      <c r="BQ38" s="234"/>
      <c r="BR38" s="234"/>
      <c r="BS38" s="234"/>
      <c r="BT38" s="235"/>
      <c r="BU38" s="54"/>
      <c r="BV38" s="145"/>
      <c r="BW38" s="241"/>
      <c r="BX38" s="234"/>
      <c r="BY38" s="234"/>
      <c r="BZ38" s="234"/>
      <c r="CA38" s="235"/>
      <c r="CB38" s="54"/>
      <c r="CC38" s="145"/>
      <c r="CD38" s="241"/>
      <c r="CE38" s="234"/>
      <c r="CF38" s="234"/>
      <c r="CG38" s="234"/>
      <c r="CH38" s="235"/>
      <c r="CI38" s="54"/>
      <c r="CJ38" s="145"/>
      <c r="CK38" s="241"/>
      <c r="CL38" s="234"/>
      <c r="CM38" s="234"/>
      <c r="CN38" s="234"/>
      <c r="CO38" s="235"/>
      <c r="CP38">
        <f>IF(J38="нет",1,0)</f>
        <v>0</v>
      </c>
      <c r="CQ38">
        <f>IF(Q38="нет",1,0)</f>
        <v>0</v>
      </c>
      <c r="CR38">
        <f>IF(X38="нет",1,0)</f>
        <v>0</v>
      </c>
      <c r="CS38">
        <f>IF(AE38="нет",1,0)</f>
        <v>0</v>
      </c>
      <c r="CT38">
        <f>IF(AL38="нет",1,0)</f>
        <v>0</v>
      </c>
      <c r="CU38">
        <f>IF(AS38="нет",1,0)</f>
        <v>0</v>
      </c>
      <c r="CV38">
        <f>IF(AZ38="нет",1,0)</f>
        <v>0</v>
      </c>
      <c r="CW38">
        <f>IF(BG38="нет",1,0)</f>
        <v>0</v>
      </c>
      <c r="CX38">
        <f>IF(BN38="нет",1,0)</f>
        <v>0</v>
      </c>
      <c r="CY38">
        <f>IF(BU38="нет",1,0)</f>
        <v>0</v>
      </c>
      <c r="CZ38">
        <f>IF(CB38="нет",1,0)</f>
        <v>0</v>
      </c>
      <c r="DA38">
        <f>IF(CI38="нет",1,0)</f>
        <v>0</v>
      </c>
    </row>
    <row r="39" spans="1:105" s="22" customFormat="1" ht="28.5" customHeight="1" x14ac:dyDescent="0.45">
      <c r="A39" s="56" t="s">
        <v>157</v>
      </c>
      <c r="B39" s="26"/>
      <c r="C39" s="277"/>
      <c r="D39" s="248"/>
      <c r="E39" s="283" t="s">
        <v>158</v>
      </c>
      <c r="F39" s="234"/>
      <c r="G39" s="234"/>
      <c r="H39" s="234"/>
      <c r="I39" s="235"/>
      <c r="J39" s="54"/>
      <c r="K39" s="145"/>
      <c r="L39" s="241"/>
      <c r="M39" s="234"/>
      <c r="N39" s="234"/>
      <c r="O39" s="234"/>
      <c r="P39" s="235"/>
      <c r="Q39" s="54"/>
      <c r="R39" s="145"/>
      <c r="S39" s="241"/>
      <c r="T39" s="234"/>
      <c r="U39" s="234"/>
      <c r="V39" s="234"/>
      <c r="W39" s="235"/>
      <c r="X39" s="54"/>
      <c r="Y39" s="145"/>
      <c r="Z39" s="241"/>
      <c r="AA39" s="234"/>
      <c r="AB39" s="234"/>
      <c r="AC39" s="234"/>
      <c r="AD39" s="235"/>
      <c r="AE39" s="54"/>
      <c r="AF39" s="145"/>
      <c r="AG39" s="241"/>
      <c r="AH39" s="234"/>
      <c r="AI39" s="234"/>
      <c r="AJ39" s="234"/>
      <c r="AK39" s="235"/>
      <c r="AL39" s="54"/>
      <c r="AM39" s="145"/>
      <c r="AN39" s="241"/>
      <c r="AO39" s="234"/>
      <c r="AP39" s="234"/>
      <c r="AQ39" s="234"/>
      <c r="AR39" s="235"/>
      <c r="AS39" s="54"/>
      <c r="AT39" s="145"/>
      <c r="AU39" s="241"/>
      <c r="AV39" s="234"/>
      <c r="AW39" s="234"/>
      <c r="AX39" s="234"/>
      <c r="AY39" s="235"/>
      <c r="AZ39" s="54"/>
      <c r="BA39" s="145"/>
      <c r="BB39" s="241"/>
      <c r="BC39" s="234"/>
      <c r="BD39" s="234"/>
      <c r="BE39" s="234"/>
      <c r="BF39" s="235"/>
      <c r="BG39" s="54"/>
      <c r="BH39" s="145"/>
      <c r="BI39" s="241"/>
      <c r="BJ39" s="234"/>
      <c r="BK39" s="234"/>
      <c r="BL39" s="234"/>
      <c r="BM39" s="235"/>
      <c r="BN39" s="54"/>
      <c r="BO39" s="145"/>
      <c r="BP39" s="241"/>
      <c r="BQ39" s="234"/>
      <c r="BR39" s="234"/>
      <c r="BS39" s="234"/>
      <c r="BT39" s="235"/>
      <c r="BU39" s="54"/>
      <c r="BV39" s="145"/>
      <c r="BW39" s="241"/>
      <c r="BX39" s="234"/>
      <c r="BY39" s="234"/>
      <c r="BZ39" s="234"/>
      <c r="CA39" s="235"/>
      <c r="CB39" s="54"/>
      <c r="CC39" s="145"/>
      <c r="CD39" s="241"/>
      <c r="CE39" s="234"/>
      <c r="CF39" s="234"/>
      <c r="CG39" s="234"/>
      <c r="CH39" s="235"/>
      <c r="CI39" s="54"/>
      <c r="CJ39" s="145"/>
      <c r="CK39" s="241"/>
      <c r="CL39" s="234"/>
      <c r="CM39" s="234"/>
      <c r="CN39" s="234"/>
      <c r="CO39" s="235"/>
      <c r="CP39">
        <f>IF(J39="нет",1,0)</f>
        <v>0</v>
      </c>
      <c r="CQ39">
        <f>IF(Q39="нет",1,0)</f>
        <v>0</v>
      </c>
      <c r="CR39">
        <f>IF(X39="нет",1,0)</f>
        <v>0</v>
      </c>
      <c r="CS39">
        <f>IF(AE39="нет",1,0)</f>
        <v>0</v>
      </c>
      <c r="CT39">
        <f>IF(AL39="нет",1,0)</f>
        <v>0</v>
      </c>
      <c r="CU39">
        <f>IF(AS39="нет",1,0)</f>
        <v>0</v>
      </c>
      <c r="CV39">
        <f>IF(AZ39="нет",1,0)</f>
        <v>0</v>
      </c>
      <c r="CW39">
        <f>IF(BG39="нет",1,0)</f>
        <v>0</v>
      </c>
      <c r="CX39">
        <f>IF(BN39="нет",1,0)</f>
        <v>0</v>
      </c>
      <c r="CY39">
        <f>IF(BU39="нет",1,0)</f>
        <v>0</v>
      </c>
      <c r="CZ39">
        <f>IF(CB39="нет",1,0)</f>
        <v>0</v>
      </c>
      <c r="DA39">
        <f>IF(CI39="нет",1,0)</f>
        <v>0</v>
      </c>
    </row>
    <row r="40" spans="1:105" s="22" customFormat="1" ht="28.5" customHeight="1" x14ac:dyDescent="0.45">
      <c r="A40" s="56" t="s">
        <v>159</v>
      </c>
      <c r="B40" s="25"/>
      <c r="C40" s="277"/>
      <c r="D40" s="248"/>
      <c r="E40" s="283" t="s">
        <v>160</v>
      </c>
      <c r="F40" s="234"/>
      <c r="G40" s="234"/>
      <c r="H40" s="234"/>
      <c r="I40" s="235"/>
      <c r="J40" s="54"/>
      <c r="K40" s="146"/>
      <c r="L40" s="272"/>
      <c r="M40" s="234"/>
      <c r="N40" s="234"/>
      <c r="O40" s="234"/>
      <c r="P40" s="235"/>
      <c r="Q40" s="54"/>
      <c r="R40" s="146"/>
      <c r="S40" s="272"/>
      <c r="T40" s="234"/>
      <c r="U40" s="234"/>
      <c r="V40" s="234"/>
      <c r="W40" s="235"/>
      <c r="X40" s="54"/>
      <c r="Y40" s="146"/>
      <c r="Z40" s="272"/>
      <c r="AA40" s="234"/>
      <c r="AB40" s="234"/>
      <c r="AC40" s="234"/>
      <c r="AD40" s="235"/>
      <c r="AE40" s="54"/>
      <c r="AF40" s="146"/>
      <c r="AG40" s="272"/>
      <c r="AH40" s="234"/>
      <c r="AI40" s="234"/>
      <c r="AJ40" s="234"/>
      <c r="AK40" s="235"/>
      <c r="AL40" s="54"/>
      <c r="AM40" s="146"/>
      <c r="AN40" s="272"/>
      <c r="AO40" s="234"/>
      <c r="AP40" s="234"/>
      <c r="AQ40" s="234"/>
      <c r="AR40" s="235"/>
      <c r="AS40" s="54"/>
      <c r="AT40" s="146"/>
      <c r="AU40" s="272"/>
      <c r="AV40" s="234"/>
      <c r="AW40" s="234"/>
      <c r="AX40" s="234"/>
      <c r="AY40" s="235"/>
      <c r="AZ40" s="54"/>
      <c r="BA40" s="146"/>
      <c r="BB40" s="272"/>
      <c r="BC40" s="234"/>
      <c r="BD40" s="234"/>
      <c r="BE40" s="234"/>
      <c r="BF40" s="235"/>
      <c r="BG40" s="54"/>
      <c r="BH40" s="146"/>
      <c r="BI40" s="272"/>
      <c r="BJ40" s="234"/>
      <c r="BK40" s="234"/>
      <c r="BL40" s="234"/>
      <c r="BM40" s="235"/>
      <c r="BN40" s="54"/>
      <c r="BO40" s="146"/>
      <c r="BP40" s="272"/>
      <c r="BQ40" s="234"/>
      <c r="BR40" s="234"/>
      <c r="BS40" s="234"/>
      <c r="BT40" s="235"/>
      <c r="BU40" s="54"/>
      <c r="BV40" s="146"/>
      <c r="BW40" s="272"/>
      <c r="BX40" s="234"/>
      <c r="BY40" s="234"/>
      <c r="BZ40" s="234"/>
      <c r="CA40" s="235"/>
      <c r="CB40" s="54"/>
      <c r="CC40" s="146"/>
      <c r="CD40" s="272"/>
      <c r="CE40" s="234"/>
      <c r="CF40" s="234"/>
      <c r="CG40" s="234"/>
      <c r="CH40" s="235"/>
      <c r="CI40" s="54"/>
      <c r="CJ40" s="146"/>
      <c r="CK40" s="272"/>
      <c r="CL40" s="234"/>
      <c r="CM40" s="234"/>
      <c r="CN40" s="234"/>
      <c r="CO40" s="235"/>
      <c r="CP40">
        <f>IF(J40="нет",1,0)</f>
        <v>0</v>
      </c>
      <c r="CQ40">
        <f>IF(Q40="нет",1,0)</f>
        <v>0</v>
      </c>
      <c r="CR40">
        <f>IF(X40="нет",1,0)</f>
        <v>0</v>
      </c>
      <c r="CS40">
        <f>IF(AE40="нет",1,0)</f>
        <v>0</v>
      </c>
      <c r="CT40">
        <f>IF(AL40="нет",1,0)</f>
        <v>0</v>
      </c>
      <c r="CU40">
        <f>IF(AS40="нет",1,0)</f>
        <v>0</v>
      </c>
      <c r="CV40">
        <f>IF(AZ40="нет",1,0)</f>
        <v>0</v>
      </c>
      <c r="CW40">
        <f>IF(BG40="нет",1,0)</f>
        <v>0</v>
      </c>
      <c r="CX40">
        <f>IF(BN40="нет",1,0)</f>
        <v>0</v>
      </c>
      <c r="CY40">
        <f>IF(BU40="нет",1,0)</f>
        <v>0</v>
      </c>
      <c r="CZ40">
        <f>IF(CB40="нет",1,0)</f>
        <v>0</v>
      </c>
      <c r="DA40">
        <f>IF(CI40="нет",1,0)</f>
        <v>0</v>
      </c>
    </row>
    <row r="41" spans="1:105" s="22" customFormat="1" ht="28.5" customHeight="1" x14ac:dyDescent="0.45">
      <c r="A41" s="56" t="s">
        <v>161</v>
      </c>
      <c r="B41" s="25"/>
      <c r="C41" s="277"/>
      <c r="D41" s="248"/>
      <c r="E41" s="285" t="s">
        <v>113</v>
      </c>
      <c r="F41" s="234"/>
      <c r="G41" s="234"/>
      <c r="H41" s="234"/>
      <c r="I41" s="235"/>
      <c r="J41" s="42"/>
      <c r="K41" s="147"/>
      <c r="L41" s="241"/>
      <c r="M41" s="234"/>
      <c r="N41" s="234"/>
      <c r="O41" s="234"/>
      <c r="P41" s="235"/>
      <c r="Q41" s="42"/>
      <c r="R41" s="147"/>
      <c r="S41" s="241"/>
      <c r="T41" s="234"/>
      <c r="U41" s="234"/>
      <c r="V41" s="234"/>
      <c r="W41" s="235"/>
      <c r="X41" s="42"/>
      <c r="Y41" s="147"/>
      <c r="Z41" s="241"/>
      <c r="AA41" s="234"/>
      <c r="AB41" s="234"/>
      <c r="AC41" s="234"/>
      <c r="AD41" s="235"/>
      <c r="AE41" s="42"/>
      <c r="AF41" s="147"/>
      <c r="AG41" s="241"/>
      <c r="AH41" s="234"/>
      <c r="AI41" s="234"/>
      <c r="AJ41" s="234"/>
      <c r="AK41" s="235"/>
      <c r="AL41" s="42"/>
      <c r="AM41" s="147"/>
      <c r="AN41" s="241"/>
      <c r="AO41" s="234"/>
      <c r="AP41" s="234"/>
      <c r="AQ41" s="234"/>
      <c r="AR41" s="235"/>
      <c r="AS41" s="42"/>
      <c r="AT41" s="147"/>
      <c r="AU41" s="241"/>
      <c r="AV41" s="234"/>
      <c r="AW41" s="234"/>
      <c r="AX41" s="234"/>
      <c r="AY41" s="235"/>
      <c r="AZ41" s="42"/>
      <c r="BA41" s="147"/>
      <c r="BB41" s="241"/>
      <c r="BC41" s="234"/>
      <c r="BD41" s="234"/>
      <c r="BE41" s="234"/>
      <c r="BF41" s="235"/>
      <c r="BG41" s="42"/>
      <c r="BH41" s="147"/>
      <c r="BI41" s="241"/>
      <c r="BJ41" s="234"/>
      <c r="BK41" s="234"/>
      <c r="BL41" s="234"/>
      <c r="BM41" s="235"/>
      <c r="BN41" s="42"/>
      <c r="BO41" s="147"/>
      <c r="BP41" s="241"/>
      <c r="BQ41" s="234"/>
      <c r="BR41" s="234"/>
      <c r="BS41" s="234"/>
      <c r="BT41" s="235"/>
      <c r="BU41" s="42"/>
      <c r="BV41" s="147"/>
      <c r="BW41" s="241"/>
      <c r="BX41" s="234"/>
      <c r="BY41" s="234"/>
      <c r="BZ41" s="234"/>
      <c r="CA41" s="235"/>
      <c r="CB41" s="42"/>
      <c r="CC41" s="147"/>
      <c r="CD41" s="241"/>
      <c r="CE41" s="234"/>
      <c r="CF41" s="234"/>
      <c r="CG41" s="234"/>
      <c r="CH41" s="235"/>
      <c r="CI41" s="42"/>
      <c r="CJ41" s="147"/>
      <c r="CK41" s="241"/>
      <c r="CL41" s="234"/>
      <c r="CM41" s="234"/>
      <c r="CN41" s="234"/>
      <c r="CO41" s="235"/>
    </row>
    <row r="42" spans="1:105" s="22" customFormat="1" ht="28.5" customHeight="1" x14ac:dyDescent="0.45">
      <c r="A42" s="56" t="s">
        <v>162</v>
      </c>
      <c r="B42" s="62"/>
      <c r="C42" s="169"/>
      <c r="D42" s="171"/>
      <c r="E42" s="308" t="s">
        <v>163</v>
      </c>
      <c r="F42" s="276"/>
      <c r="G42" s="276"/>
      <c r="H42" s="276"/>
      <c r="I42" s="309"/>
      <c r="J42" s="54"/>
      <c r="K42" s="143"/>
      <c r="L42" s="244"/>
      <c r="M42" s="234"/>
      <c r="N42" s="234"/>
      <c r="O42" s="234"/>
      <c r="P42" s="245"/>
      <c r="Q42" s="54"/>
      <c r="R42" s="143"/>
      <c r="S42" s="244"/>
      <c r="T42" s="234"/>
      <c r="U42" s="234"/>
      <c r="V42" s="234"/>
      <c r="W42" s="245"/>
      <c r="X42" s="54"/>
      <c r="Y42" s="143"/>
      <c r="Z42" s="244"/>
      <c r="AA42" s="234"/>
      <c r="AB42" s="234"/>
      <c r="AC42" s="234"/>
      <c r="AD42" s="245"/>
      <c r="AE42" s="54"/>
      <c r="AF42" s="143"/>
      <c r="AG42" s="244"/>
      <c r="AH42" s="234"/>
      <c r="AI42" s="234"/>
      <c r="AJ42" s="234"/>
      <c r="AK42" s="245"/>
      <c r="AL42" s="54"/>
      <c r="AM42" s="143"/>
      <c r="AN42" s="244"/>
      <c r="AO42" s="234"/>
      <c r="AP42" s="234"/>
      <c r="AQ42" s="234"/>
      <c r="AR42" s="245"/>
      <c r="AS42" s="54"/>
      <c r="AT42" s="143"/>
      <c r="AU42" s="244"/>
      <c r="AV42" s="234"/>
      <c r="AW42" s="234"/>
      <c r="AX42" s="234"/>
      <c r="AY42" s="245"/>
      <c r="AZ42" s="54"/>
      <c r="BA42" s="143"/>
      <c r="BB42" s="244"/>
      <c r="BC42" s="234"/>
      <c r="BD42" s="234"/>
      <c r="BE42" s="234"/>
      <c r="BF42" s="245"/>
      <c r="BG42" s="54"/>
      <c r="BH42" s="143"/>
      <c r="BI42" s="244"/>
      <c r="BJ42" s="234"/>
      <c r="BK42" s="234"/>
      <c r="BL42" s="234"/>
      <c r="BM42" s="245"/>
      <c r="BN42" s="54"/>
      <c r="BO42" s="143"/>
      <c r="BP42" s="244"/>
      <c r="BQ42" s="234"/>
      <c r="BR42" s="234"/>
      <c r="BS42" s="234"/>
      <c r="BT42" s="245"/>
      <c r="BU42" s="54"/>
      <c r="BV42" s="143"/>
      <c r="BW42" s="244"/>
      <c r="BX42" s="234"/>
      <c r="BY42" s="234"/>
      <c r="BZ42" s="234"/>
      <c r="CA42" s="245"/>
      <c r="CB42" s="54"/>
      <c r="CC42" s="143"/>
      <c r="CD42" s="244"/>
      <c r="CE42" s="234"/>
      <c r="CF42" s="234"/>
      <c r="CG42" s="234"/>
      <c r="CH42" s="245"/>
      <c r="CI42" s="54"/>
      <c r="CJ42" s="143"/>
      <c r="CK42" s="244"/>
      <c r="CL42" s="234"/>
      <c r="CM42" s="234"/>
      <c r="CN42" s="234"/>
      <c r="CO42" s="245"/>
      <c r="CP42">
        <f t="shared" ref="CP42:CP49" si="21">IF(J42="нет",1,0)</f>
        <v>0</v>
      </c>
      <c r="CQ42">
        <f t="shared" ref="CQ42:CQ49" si="22">IF(Q42="нет",1,0)</f>
        <v>0</v>
      </c>
      <c r="CR42">
        <f t="shared" ref="CR42:CR49" si="23">IF(X42="нет",1,0)</f>
        <v>0</v>
      </c>
      <c r="CS42">
        <f t="shared" ref="CS42:CS49" si="24">IF(AE42="нет",1,0)</f>
        <v>0</v>
      </c>
      <c r="CT42">
        <f t="shared" ref="CT42:CT49" si="25">IF(AL42="нет",1,0)</f>
        <v>0</v>
      </c>
      <c r="CU42">
        <f t="shared" ref="CU42:CU49" si="26">IF(AS42="нет",1,0)</f>
        <v>0</v>
      </c>
      <c r="CV42">
        <f t="shared" ref="CV42:CV49" si="27">IF(AZ42="нет",1,0)</f>
        <v>0</v>
      </c>
      <c r="CW42">
        <f t="shared" ref="CW42:CW49" si="28">IF(BG42="нет",1,0)</f>
        <v>0</v>
      </c>
      <c r="CX42">
        <f t="shared" ref="CX42:CX49" si="29">IF(BN42="нет",1,0)</f>
        <v>0</v>
      </c>
      <c r="CY42">
        <f t="shared" ref="CY42:CY49" si="30">IF(BU42="нет",1,0)</f>
        <v>0</v>
      </c>
      <c r="CZ42">
        <f t="shared" ref="CZ42:CZ49" si="31">IF(CB42="нет",1,0)</f>
        <v>0</v>
      </c>
      <c r="DA42">
        <f t="shared" ref="DA42:DA49" si="32">IF(CI42="нет",1,0)</f>
        <v>0</v>
      </c>
    </row>
    <row r="43" spans="1:105" s="174" customFormat="1" ht="28.5" customHeight="1" x14ac:dyDescent="0.45">
      <c r="A43" s="56" t="s">
        <v>292</v>
      </c>
      <c r="B43" s="25"/>
      <c r="C43" s="172"/>
      <c r="D43" s="178"/>
      <c r="E43" s="305" t="s">
        <v>302</v>
      </c>
      <c r="F43" s="306"/>
      <c r="G43" s="306"/>
      <c r="H43" s="306"/>
      <c r="I43" s="307"/>
      <c r="J43" s="54"/>
      <c r="K43" s="179"/>
      <c r="L43" s="173"/>
      <c r="M43" s="175"/>
      <c r="N43" s="175"/>
      <c r="O43" s="175"/>
      <c r="P43" s="175"/>
      <c r="Q43" s="54"/>
      <c r="R43" s="143"/>
      <c r="S43" s="173"/>
      <c r="T43" s="175"/>
      <c r="U43" s="175"/>
      <c r="V43" s="175"/>
      <c r="W43" s="175"/>
      <c r="X43" s="54"/>
      <c r="Y43" s="143"/>
      <c r="Z43" s="173"/>
      <c r="AA43" s="175"/>
      <c r="AB43" s="175"/>
      <c r="AC43" s="175"/>
      <c r="AD43" s="175"/>
      <c r="AE43" s="54"/>
      <c r="AF43" s="143"/>
      <c r="AG43" s="173"/>
      <c r="AH43" s="175"/>
      <c r="AI43" s="175"/>
      <c r="AJ43" s="175"/>
      <c r="AK43" s="175"/>
      <c r="AL43" s="54"/>
      <c r="AM43" s="143"/>
      <c r="AN43" s="173"/>
      <c r="AO43" s="175"/>
      <c r="AP43" s="175"/>
      <c r="AQ43" s="175"/>
      <c r="AR43" s="175"/>
      <c r="AS43" s="54"/>
      <c r="AT43" s="143"/>
      <c r="AU43" s="173"/>
      <c r="AV43" s="175"/>
      <c r="AW43" s="175"/>
      <c r="AX43" s="175"/>
      <c r="AY43" s="175"/>
      <c r="AZ43" s="54"/>
      <c r="BA43" s="143"/>
      <c r="BB43" s="173"/>
      <c r="BC43" s="175"/>
      <c r="BD43" s="175"/>
      <c r="BE43" s="175"/>
      <c r="BF43" s="175"/>
      <c r="BG43" s="54"/>
      <c r="BH43" s="143"/>
      <c r="BI43" s="173"/>
      <c r="BJ43" s="175"/>
      <c r="BK43" s="175"/>
      <c r="BL43" s="175"/>
      <c r="BM43" s="175"/>
      <c r="BN43" s="54"/>
      <c r="BO43" s="143"/>
      <c r="BP43" s="173"/>
      <c r="BQ43" s="175"/>
      <c r="BR43" s="175"/>
      <c r="BS43" s="175"/>
      <c r="BT43" s="175"/>
      <c r="BU43" s="54"/>
      <c r="BV43" s="143"/>
      <c r="BW43" s="173"/>
      <c r="BX43" s="175"/>
      <c r="BY43" s="175"/>
      <c r="BZ43" s="175"/>
      <c r="CA43" s="175"/>
      <c r="CB43" s="54"/>
      <c r="CC43" s="143"/>
      <c r="CD43" s="173"/>
      <c r="CE43" s="175"/>
      <c r="CF43" s="175"/>
      <c r="CG43" s="175"/>
      <c r="CH43" s="175"/>
      <c r="CI43" s="54"/>
      <c r="CJ43" s="143"/>
      <c r="CK43" s="173"/>
      <c r="CL43" s="175"/>
      <c r="CM43" s="175"/>
      <c r="CN43" s="175"/>
      <c r="CO43" s="175"/>
      <c r="CP43" s="176"/>
      <c r="CQ43" s="176"/>
      <c r="CR43" s="176"/>
      <c r="CS43" s="176"/>
      <c r="CT43" s="176"/>
      <c r="CU43" s="176"/>
      <c r="CV43" s="176"/>
      <c r="CW43" s="176"/>
      <c r="CX43" s="176"/>
      <c r="CY43" s="176"/>
      <c r="CZ43" s="176"/>
      <c r="DA43" s="176"/>
    </row>
    <row r="44" spans="1:105" s="168" customFormat="1" ht="28.5" customHeight="1" x14ac:dyDescent="0.45">
      <c r="A44" s="56" t="s">
        <v>296</v>
      </c>
      <c r="B44" s="20" t="s">
        <v>51</v>
      </c>
      <c r="C44" s="277" t="s">
        <v>52</v>
      </c>
      <c r="D44" s="248"/>
      <c r="E44" s="300" t="s">
        <v>295</v>
      </c>
      <c r="F44" s="301"/>
      <c r="G44" s="301"/>
      <c r="H44" s="301"/>
      <c r="I44" s="302"/>
      <c r="J44" s="54"/>
      <c r="K44" s="179"/>
      <c r="L44" s="173"/>
      <c r="M44" s="167"/>
      <c r="N44" s="167"/>
      <c r="O44" s="167"/>
      <c r="P44" s="167"/>
      <c r="Q44" s="54"/>
      <c r="R44" s="143"/>
      <c r="S44" s="173"/>
      <c r="T44" s="167"/>
      <c r="U44" s="167"/>
      <c r="V44" s="167"/>
      <c r="W44" s="167"/>
      <c r="X44" s="54"/>
      <c r="Y44" s="143"/>
      <c r="Z44" s="173"/>
      <c r="AA44" s="167"/>
      <c r="AB44" s="167"/>
      <c r="AC44" s="167"/>
      <c r="AD44" s="167"/>
      <c r="AE44" s="54"/>
      <c r="AF44" s="143"/>
      <c r="AG44" s="173"/>
      <c r="AH44" s="167"/>
      <c r="AI44" s="167"/>
      <c r="AJ44" s="167"/>
      <c r="AK44" s="167"/>
      <c r="AL44" s="54"/>
      <c r="AM44" s="143"/>
      <c r="AN44" s="173"/>
      <c r="AO44" s="167"/>
      <c r="AP44" s="167"/>
      <c r="AQ44" s="167"/>
      <c r="AR44" s="167"/>
      <c r="AS44" s="54"/>
      <c r="AT44" s="143"/>
      <c r="AU44" s="173"/>
      <c r="AV44" s="167"/>
      <c r="AW44" s="167"/>
      <c r="AX44" s="167"/>
      <c r="AY44" s="167"/>
      <c r="AZ44" s="54"/>
      <c r="BA44" s="143"/>
      <c r="BB44" s="173"/>
      <c r="BC44" s="167"/>
      <c r="BD44" s="167"/>
      <c r="BE44" s="167"/>
      <c r="BF44" s="167"/>
      <c r="BG44" s="54"/>
      <c r="BH44" s="143"/>
      <c r="BI44" s="173"/>
      <c r="BJ44" s="167"/>
      <c r="BK44" s="167"/>
      <c r="BL44" s="167"/>
      <c r="BM44" s="167"/>
      <c r="BN44" s="54"/>
      <c r="BO44" s="143"/>
      <c r="BP44" s="173"/>
      <c r="BQ44" s="167"/>
      <c r="BR44" s="167"/>
      <c r="BS44" s="167"/>
      <c r="BT44" s="167"/>
      <c r="BU44" s="54"/>
      <c r="BV44" s="143"/>
      <c r="BW44" s="173"/>
      <c r="BX44" s="167"/>
      <c r="BY44" s="167"/>
      <c r="BZ44" s="167"/>
      <c r="CA44" s="167"/>
      <c r="CB44" s="54"/>
      <c r="CC44" s="143"/>
      <c r="CD44" s="173"/>
      <c r="CE44" s="167"/>
      <c r="CF44" s="167"/>
      <c r="CG44" s="167"/>
      <c r="CH44" s="167"/>
      <c r="CI44" s="54"/>
      <c r="CJ44" s="143"/>
      <c r="CK44" s="173"/>
      <c r="CL44" s="167"/>
      <c r="CM44" s="167"/>
      <c r="CN44" s="167"/>
      <c r="CO44" s="167"/>
      <c r="CP44" s="170"/>
      <c r="CQ44" s="170"/>
      <c r="CR44" s="170"/>
      <c r="CS44" s="170"/>
      <c r="CT44" s="170"/>
      <c r="CU44" s="170"/>
      <c r="CV44" s="170"/>
      <c r="CW44" s="170"/>
      <c r="CX44" s="170"/>
      <c r="CY44" s="170"/>
      <c r="CZ44" s="170"/>
      <c r="DA44" s="170"/>
    </row>
    <row r="45" spans="1:105" s="22" customFormat="1" ht="28.5" customHeight="1" x14ac:dyDescent="0.45">
      <c r="A45" s="56" t="s">
        <v>164</v>
      </c>
      <c r="B45" s="20"/>
      <c r="C45" s="267"/>
      <c r="D45" s="292"/>
      <c r="E45" s="259" t="s">
        <v>165</v>
      </c>
      <c r="F45" s="260"/>
      <c r="G45" s="260"/>
      <c r="H45" s="260"/>
      <c r="I45" s="261"/>
      <c r="J45" s="54"/>
      <c r="K45" s="143"/>
      <c r="L45" s="233"/>
      <c r="M45" s="234"/>
      <c r="N45" s="234"/>
      <c r="O45" s="234"/>
      <c r="P45" s="235"/>
      <c r="Q45" s="54"/>
      <c r="R45" s="143"/>
      <c r="S45" s="233"/>
      <c r="T45" s="234"/>
      <c r="U45" s="234"/>
      <c r="V45" s="234"/>
      <c r="W45" s="235"/>
      <c r="X45" s="54"/>
      <c r="Y45" s="143"/>
      <c r="Z45" s="233"/>
      <c r="AA45" s="234"/>
      <c r="AB45" s="234"/>
      <c r="AC45" s="234"/>
      <c r="AD45" s="235"/>
      <c r="AE45" s="54"/>
      <c r="AF45" s="143"/>
      <c r="AG45" s="233"/>
      <c r="AH45" s="234"/>
      <c r="AI45" s="234"/>
      <c r="AJ45" s="234"/>
      <c r="AK45" s="235"/>
      <c r="AL45" s="54"/>
      <c r="AM45" s="143"/>
      <c r="AN45" s="233"/>
      <c r="AO45" s="234"/>
      <c r="AP45" s="234"/>
      <c r="AQ45" s="234"/>
      <c r="AR45" s="235"/>
      <c r="AS45" s="54"/>
      <c r="AT45" s="143"/>
      <c r="AU45" s="233"/>
      <c r="AV45" s="234"/>
      <c r="AW45" s="234"/>
      <c r="AX45" s="234"/>
      <c r="AY45" s="235"/>
      <c r="AZ45" s="54"/>
      <c r="BA45" s="143"/>
      <c r="BB45" s="233"/>
      <c r="BC45" s="234"/>
      <c r="BD45" s="234"/>
      <c r="BE45" s="234"/>
      <c r="BF45" s="235"/>
      <c r="BG45" s="54"/>
      <c r="BH45" s="143"/>
      <c r="BI45" s="233"/>
      <c r="BJ45" s="234"/>
      <c r="BK45" s="234"/>
      <c r="BL45" s="234"/>
      <c r="BM45" s="235"/>
      <c r="BN45" s="54"/>
      <c r="BO45" s="143"/>
      <c r="BP45" s="233"/>
      <c r="BQ45" s="234"/>
      <c r="BR45" s="234"/>
      <c r="BS45" s="234"/>
      <c r="BT45" s="235"/>
      <c r="BU45" s="54"/>
      <c r="BV45" s="143"/>
      <c r="BW45" s="233"/>
      <c r="BX45" s="234"/>
      <c r="BY45" s="234"/>
      <c r="BZ45" s="234"/>
      <c r="CA45" s="235"/>
      <c r="CB45" s="54"/>
      <c r="CC45" s="143"/>
      <c r="CD45" s="233"/>
      <c r="CE45" s="234"/>
      <c r="CF45" s="234"/>
      <c r="CG45" s="234"/>
      <c r="CH45" s="235"/>
      <c r="CI45" s="54"/>
      <c r="CJ45" s="143"/>
      <c r="CK45" s="233"/>
      <c r="CL45" s="234"/>
      <c r="CM45" s="234"/>
      <c r="CN45" s="234"/>
      <c r="CO45" s="235"/>
      <c r="CP45">
        <f t="shared" si="21"/>
        <v>0</v>
      </c>
      <c r="CQ45">
        <f t="shared" si="22"/>
        <v>0</v>
      </c>
      <c r="CR45">
        <f t="shared" si="23"/>
        <v>0</v>
      </c>
      <c r="CS45">
        <f t="shared" si="24"/>
        <v>0</v>
      </c>
      <c r="CT45">
        <f t="shared" si="25"/>
        <v>0</v>
      </c>
      <c r="CU45">
        <f t="shared" si="26"/>
        <v>0</v>
      </c>
      <c r="CV45">
        <f t="shared" si="27"/>
        <v>0</v>
      </c>
      <c r="CW45">
        <f t="shared" si="28"/>
        <v>0</v>
      </c>
      <c r="CX45">
        <f t="shared" si="29"/>
        <v>0</v>
      </c>
      <c r="CY45">
        <f t="shared" si="30"/>
        <v>0</v>
      </c>
      <c r="CZ45">
        <f t="shared" si="31"/>
        <v>0</v>
      </c>
      <c r="DA45">
        <f t="shared" si="32"/>
        <v>0</v>
      </c>
    </row>
    <row r="46" spans="1:105" s="22" customFormat="1" ht="28.5" customHeight="1" x14ac:dyDescent="0.45">
      <c r="A46" s="56" t="s">
        <v>166</v>
      </c>
      <c r="B46" s="27"/>
      <c r="C46" s="277" t="s">
        <v>293</v>
      </c>
      <c r="D46" s="248"/>
      <c r="E46" s="259" t="s">
        <v>167</v>
      </c>
      <c r="F46" s="260"/>
      <c r="G46" s="260"/>
      <c r="H46" s="260"/>
      <c r="I46" s="261"/>
      <c r="J46" s="180"/>
      <c r="K46" s="146"/>
      <c r="L46" s="233"/>
      <c r="M46" s="234"/>
      <c r="N46" s="234"/>
      <c r="O46" s="234"/>
      <c r="P46" s="235"/>
      <c r="Q46" s="54"/>
      <c r="R46" s="146"/>
      <c r="S46" s="233"/>
      <c r="T46" s="234"/>
      <c r="U46" s="234"/>
      <c r="V46" s="234"/>
      <c r="W46" s="235"/>
      <c r="X46" s="54"/>
      <c r="Y46" s="146"/>
      <c r="Z46" s="233"/>
      <c r="AA46" s="234"/>
      <c r="AB46" s="234"/>
      <c r="AC46" s="234"/>
      <c r="AD46" s="235"/>
      <c r="AE46" s="54"/>
      <c r="AF46" s="146"/>
      <c r="AG46" s="233"/>
      <c r="AH46" s="234"/>
      <c r="AI46" s="234"/>
      <c r="AJ46" s="234"/>
      <c r="AK46" s="235"/>
      <c r="AL46" s="54"/>
      <c r="AM46" s="146"/>
      <c r="AN46" s="233"/>
      <c r="AO46" s="234"/>
      <c r="AP46" s="234"/>
      <c r="AQ46" s="234"/>
      <c r="AR46" s="235"/>
      <c r="AS46" s="54"/>
      <c r="AT46" s="146"/>
      <c r="AU46" s="233"/>
      <c r="AV46" s="234"/>
      <c r="AW46" s="234"/>
      <c r="AX46" s="234"/>
      <c r="AY46" s="235"/>
      <c r="AZ46" s="54"/>
      <c r="BA46" s="146"/>
      <c r="BB46" s="233"/>
      <c r="BC46" s="234"/>
      <c r="BD46" s="234"/>
      <c r="BE46" s="234"/>
      <c r="BF46" s="235"/>
      <c r="BG46" s="54"/>
      <c r="BH46" s="146"/>
      <c r="BI46" s="233"/>
      <c r="BJ46" s="234"/>
      <c r="BK46" s="234"/>
      <c r="BL46" s="234"/>
      <c r="BM46" s="235"/>
      <c r="BN46" s="54"/>
      <c r="BO46" s="146"/>
      <c r="BP46" s="233"/>
      <c r="BQ46" s="234"/>
      <c r="BR46" s="234"/>
      <c r="BS46" s="234"/>
      <c r="BT46" s="235"/>
      <c r="BU46" s="54"/>
      <c r="BV46" s="146"/>
      <c r="BW46" s="233"/>
      <c r="BX46" s="234"/>
      <c r="BY46" s="234"/>
      <c r="BZ46" s="234"/>
      <c r="CA46" s="235"/>
      <c r="CB46" s="54"/>
      <c r="CC46" s="146"/>
      <c r="CD46" s="233"/>
      <c r="CE46" s="234"/>
      <c r="CF46" s="234"/>
      <c r="CG46" s="234"/>
      <c r="CH46" s="235"/>
      <c r="CI46" s="54"/>
      <c r="CJ46" s="146"/>
      <c r="CK46" s="233"/>
      <c r="CL46" s="234"/>
      <c r="CM46" s="234"/>
      <c r="CN46" s="234"/>
      <c r="CO46" s="235"/>
      <c r="CP46">
        <f t="shared" si="21"/>
        <v>0</v>
      </c>
      <c r="CQ46">
        <f t="shared" si="22"/>
        <v>0</v>
      </c>
      <c r="CR46">
        <f t="shared" si="23"/>
        <v>0</v>
      </c>
      <c r="CS46">
        <f t="shared" si="24"/>
        <v>0</v>
      </c>
      <c r="CT46">
        <f t="shared" si="25"/>
        <v>0</v>
      </c>
      <c r="CU46">
        <f t="shared" si="26"/>
        <v>0</v>
      </c>
      <c r="CV46">
        <f t="shared" si="27"/>
        <v>0</v>
      </c>
      <c r="CW46">
        <f t="shared" si="28"/>
        <v>0</v>
      </c>
      <c r="CX46">
        <f t="shared" si="29"/>
        <v>0</v>
      </c>
      <c r="CY46">
        <f t="shared" si="30"/>
        <v>0</v>
      </c>
      <c r="CZ46">
        <f t="shared" si="31"/>
        <v>0</v>
      </c>
      <c r="DA46">
        <f t="shared" si="32"/>
        <v>0</v>
      </c>
    </row>
    <row r="47" spans="1:105" s="22" customFormat="1" ht="28.5" customHeight="1" x14ac:dyDescent="0.45">
      <c r="A47" s="56" t="s">
        <v>168</v>
      </c>
      <c r="B47" s="27"/>
      <c r="C47" s="267"/>
      <c r="D47" s="292"/>
      <c r="E47" s="283" t="s">
        <v>297</v>
      </c>
      <c r="F47" s="234"/>
      <c r="G47" s="234"/>
      <c r="H47" s="234"/>
      <c r="I47" s="235"/>
      <c r="J47" s="54"/>
      <c r="K47" s="143"/>
      <c r="L47" s="233"/>
      <c r="M47" s="234"/>
      <c r="N47" s="234"/>
      <c r="O47" s="234"/>
      <c r="P47" s="235"/>
      <c r="Q47" s="54"/>
      <c r="R47" s="143"/>
      <c r="S47" s="233"/>
      <c r="T47" s="234"/>
      <c r="U47" s="234"/>
      <c r="V47" s="234"/>
      <c r="W47" s="235"/>
      <c r="X47" s="54"/>
      <c r="Y47" s="143"/>
      <c r="Z47" s="233"/>
      <c r="AA47" s="234"/>
      <c r="AB47" s="234"/>
      <c r="AC47" s="234"/>
      <c r="AD47" s="235"/>
      <c r="AE47" s="54"/>
      <c r="AF47" s="143"/>
      <c r="AG47" s="233"/>
      <c r="AH47" s="234"/>
      <c r="AI47" s="234"/>
      <c r="AJ47" s="234"/>
      <c r="AK47" s="235"/>
      <c r="AL47" s="54"/>
      <c r="AM47" s="143"/>
      <c r="AN47" s="233"/>
      <c r="AO47" s="234"/>
      <c r="AP47" s="234"/>
      <c r="AQ47" s="234"/>
      <c r="AR47" s="235"/>
      <c r="AS47" s="54"/>
      <c r="AT47" s="143"/>
      <c r="AU47" s="233"/>
      <c r="AV47" s="234"/>
      <c r="AW47" s="234"/>
      <c r="AX47" s="234"/>
      <c r="AY47" s="235"/>
      <c r="AZ47" s="54"/>
      <c r="BA47" s="143"/>
      <c r="BB47" s="233"/>
      <c r="BC47" s="234"/>
      <c r="BD47" s="234"/>
      <c r="BE47" s="234"/>
      <c r="BF47" s="235"/>
      <c r="BG47" s="54"/>
      <c r="BH47" s="143"/>
      <c r="BI47" s="233"/>
      <c r="BJ47" s="234"/>
      <c r="BK47" s="234"/>
      <c r="BL47" s="234"/>
      <c r="BM47" s="235"/>
      <c r="BN47" s="54"/>
      <c r="BO47" s="143"/>
      <c r="BP47" s="233"/>
      <c r="BQ47" s="234"/>
      <c r="BR47" s="234"/>
      <c r="BS47" s="234"/>
      <c r="BT47" s="235"/>
      <c r="BU47" s="54"/>
      <c r="BV47" s="143"/>
      <c r="BW47" s="233"/>
      <c r="BX47" s="234"/>
      <c r="BY47" s="234"/>
      <c r="BZ47" s="234"/>
      <c r="CA47" s="235"/>
      <c r="CB47" s="54"/>
      <c r="CC47" s="143"/>
      <c r="CD47" s="233"/>
      <c r="CE47" s="234"/>
      <c r="CF47" s="234"/>
      <c r="CG47" s="234"/>
      <c r="CH47" s="235"/>
      <c r="CI47" s="54"/>
      <c r="CJ47" s="143"/>
      <c r="CK47" s="233"/>
      <c r="CL47" s="234"/>
      <c r="CM47" s="234"/>
      <c r="CN47" s="234"/>
      <c r="CO47" s="235"/>
      <c r="CP47">
        <f t="shared" si="21"/>
        <v>0</v>
      </c>
      <c r="CQ47">
        <f t="shared" si="22"/>
        <v>0</v>
      </c>
      <c r="CR47">
        <f t="shared" si="23"/>
        <v>0</v>
      </c>
      <c r="CS47">
        <f t="shared" si="24"/>
        <v>0</v>
      </c>
      <c r="CT47">
        <f t="shared" si="25"/>
        <v>0</v>
      </c>
      <c r="CU47">
        <f t="shared" si="26"/>
        <v>0</v>
      </c>
      <c r="CV47">
        <f t="shared" si="27"/>
        <v>0</v>
      </c>
      <c r="CW47">
        <f t="shared" si="28"/>
        <v>0</v>
      </c>
      <c r="CX47">
        <f t="shared" si="29"/>
        <v>0</v>
      </c>
      <c r="CY47">
        <f t="shared" si="30"/>
        <v>0</v>
      </c>
      <c r="CZ47">
        <f t="shared" si="31"/>
        <v>0</v>
      </c>
      <c r="DA47">
        <f t="shared" si="32"/>
        <v>0</v>
      </c>
    </row>
    <row r="48" spans="1:105" ht="28.5" customHeight="1" x14ac:dyDescent="0.45">
      <c r="A48" s="56" t="s">
        <v>169</v>
      </c>
      <c r="B48" s="27"/>
      <c r="C48" s="277" t="s">
        <v>290</v>
      </c>
      <c r="D48" s="277"/>
      <c r="E48" s="259" t="s">
        <v>291</v>
      </c>
      <c r="F48" s="259"/>
      <c r="G48" s="259"/>
      <c r="H48" s="259"/>
      <c r="I48" s="296"/>
      <c r="J48" s="180"/>
      <c r="K48" s="181"/>
      <c r="L48" s="233"/>
      <c r="M48" s="234"/>
      <c r="N48" s="234"/>
      <c r="O48" s="234"/>
      <c r="P48" s="235"/>
      <c r="Q48" s="54"/>
      <c r="R48" s="146"/>
      <c r="S48" s="233"/>
      <c r="T48" s="234"/>
      <c r="U48" s="234"/>
      <c r="V48" s="234"/>
      <c r="W48" s="235"/>
      <c r="X48" s="54"/>
      <c r="Y48" s="146"/>
      <c r="Z48" s="233"/>
      <c r="AA48" s="234"/>
      <c r="AB48" s="234"/>
      <c r="AC48" s="234"/>
      <c r="AD48" s="235"/>
      <c r="AE48" s="54"/>
      <c r="AF48" s="146"/>
      <c r="AG48" s="233"/>
      <c r="AH48" s="234"/>
      <c r="AI48" s="234"/>
      <c r="AJ48" s="234"/>
      <c r="AK48" s="235"/>
      <c r="AL48" s="54"/>
      <c r="AM48" s="146"/>
      <c r="AN48" s="233"/>
      <c r="AO48" s="234"/>
      <c r="AP48" s="234"/>
      <c r="AQ48" s="234"/>
      <c r="AR48" s="235"/>
      <c r="AS48" s="54"/>
      <c r="AT48" s="146"/>
      <c r="AU48" s="233"/>
      <c r="AV48" s="234"/>
      <c r="AW48" s="234"/>
      <c r="AX48" s="234"/>
      <c r="AY48" s="235"/>
      <c r="AZ48" s="54"/>
      <c r="BA48" s="146"/>
      <c r="BB48" s="233"/>
      <c r="BC48" s="234"/>
      <c r="BD48" s="234"/>
      <c r="BE48" s="234"/>
      <c r="BF48" s="235"/>
      <c r="BG48" s="54"/>
      <c r="BH48" s="146"/>
      <c r="BI48" s="233"/>
      <c r="BJ48" s="234"/>
      <c r="BK48" s="234"/>
      <c r="BL48" s="234"/>
      <c r="BM48" s="235"/>
      <c r="BN48" s="54"/>
      <c r="BO48" s="146"/>
      <c r="BP48" s="233"/>
      <c r="BQ48" s="234"/>
      <c r="BR48" s="234"/>
      <c r="BS48" s="234"/>
      <c r="BT48" s="235"/>
      <c r="BU48" s="54"/>
      <c r="BV48" s="146"/>
      <c r="BW48" s="233"/>
      <c r="BX48" s="234"/>
      <c r="BY48" s="234"/>
      <c r="BZ48" s="234"/>
      <c r="CA48" s="235"/>
      <c r="CB48" s="54"/>
      <c r="CC48" s="146"/>
      <c r="CD48" s="233"/>
      <c r="CE48" s="234"/>
      <c r="CF48" s="234"/>
      <c r="CG48" s="234"/>
      <c r="CH48" s="235"/>
      <c r="CI48" s="54"/>
      <c r="CJ48" s="146"/>
      <c r="CK48" s="233"/>
      <c r="CL48" s="234"/>
      <c r="CM48" s="234"/>
      <c r="CN48" s="234"/>
      <c r="CO48" s="235"/>
      <c r="CP48">
        <f t="shared" si="21"/>
        <v>0</v>
      </c>
      <c r="CQ48">
        <f t="shared" si="22"/>
        <v>0</v>
      </c>
      <c r="CR48">
        <f t="shared" si="23"/>
        <v>0</v>
      </c>
      <c r="CS48">
        <f t="shared" si="24"/>
        <v>0</v>
      </c>
      <c r="CT48">
        <f t="shared" si="25"/>
        <v>0</v>
      </c>
      <c r="CU48">
        <f t="shared" si="26"/>
        <v>0</v>
      </c>
      <c r="CV48">
        <f t="shared" si="27"/>
        <v>0</v>
      </c>
      <c r="CW48">
        <f t="shared" si="28"/>
        <v>0</v>
      </c>
      <c r="CX48">
        <f t="shared" si="29"/>
        <v>0</v>
      </c>
      <c r="CY48">
        <f t="shared" si="30"/>
        <v>0</v>
      </c>
      <c r="CZ48">
        <f t="shared" si="31"/>
        <v>0</v>
      </c>
      <c r="DA48">
        <f t="shared" si="32"/>
        <v>0</v>
      </c>
    </row>
    <row r="49" spans="1:105" ht="28.5" customHeight="1" x14ac:dyDescent="0.45">
      <c r="A49" s="56" t="s">
        <v>170</v>
      </c>
      <c r="B49" s="27"/>
      <c r="C49" s="294"/>
      <c r="D49" s="295"/>
      <c r="E49" s="283" t="s">
        <v>294</v>
      </c>
      <c r="F49" s="234"/>
      <c r="G49" s="234"/>
      <c r="H49" s="234"/>
      <c r="I49" s="235"/>
      <c r="J49" s="54"/>
      <c r="K49" s="143"/>
      <c r="L49" s="233"/>
      <c r="M49" s="234"/>
      <c r="N49" s="234"/>
      <c r="O49" s="234"/>
      <c r="P49" s="235"/>
      <c r="Q49" s="54"/>
      <c r="R49" s="143"/>
      <c r="S49" s="233"/>
      <c r="T49" s="234"/>
      <c r="U49" s="234"/>
      <c r="V49" s="234"/>
      <c r="W49" s="235"/>
      <c r="X49" s="54"/>
      <c r="Y49" s="143"/>
      <c r="Z49" s="233"/>
      <c r="AA49" s="234"/>
      <c r="AB49" s="234"/>
      <c r="AC49" s="234"/>
      <c r="AD49" s="235"/>
      <c r="AE49" s="54"/>
      <c r="AF49" s="143"/>
      <c r="AG49" s="233"/>
      <c r="AH49" s="234"/>
      <c r="AI49" s="234"/>
      <c r="AJ49" s="234"/>
      <c r="AK49" s="235"/>
      <c r="AL49" s="54"/>
      <c r="AM49" s="143"/>
      <c r="AN49" s="233"/>
      <c r="AO49" s="234"/>
      <c r="AP49" s="234"/>
      <c r="AQ49" s="234"/>
      <c r="AR49" s="235"/>
      <c r="AS49" s="54"/>
      <c r="AT49" s="143"/>
      <c r="AU49" s="233"/>
      <c r="AV49" s="234"/>
      <c r="AW49" s="234"/>
      <c r="AX49" s="234"/>
      <c r="AY49" s="235"/>
      <c r="AZ49" s="54"/>
      <c r="BA49" s="143"/>
      <c r="BB49" s="233"/>
      <c r="BC49" s="234"/>
      <c r="BD49" s="234"/>
      <c r="BE49" s="234"/>
      <c r="BF49" s="235"/>
      <c r="BG49" s="54"/>
      <c r="BH49" s="143"/>
      <c r="BI49" s="233"/>
      <c r="BJ49" s="234"/>
      <c r="BK49" s="234"/>
      <c r="BL49" s="234"/>
      <c r="BM49" s="235"/>
      <c r="BN49" s="54"/>
      <c r="BO49" s="143"/>
      <c r="BP49" s="233"/>
      <c r="BQ49" s="234"/>
      <c r="BR49" s="234"/>
      <c r="BS49" s="234"/>
      <c r="BT49" s="235"/>
      <c r="BU49" s="54"/>
      <c r="BV49" s="143"/>
      <c r="BW49" s="233"/>
      <c r="BX49" s="234"/>
      <c r="BY49" s="234"/>
      <c r="BZ49" s="234"/>
      <c r="CA49" s="235"/>
      <c r="CB49" s="54"/>
      <c r="CC49" s="143"/>
      <c r="CD49" s="233"/>
      <c r="CE49" s="234"/>
      <c r="CF49" s="234"/>
      <c r="CG49" s="234"/>
      <c r="CH49" s="235"/>
      <c r="CI49" s="54"/>
      <c r="CJ49" s="143"/>
      <c r="CK49" s="233"/>
      <c r="CL49" s="234"/>
      <c r="CM49" s="234"/>
      <c r="CN49" s="234"/>
      <c r="CO49" s="235"/>
      <c r="CP49">
        <f t="shared" si="21"/>
        <v>0</v>
      </c>
      <c r="CQ49">
        <f t="shared" si="22"/>
        <v>0</v>
      </c>
      <c r="CR49">
        <f t="shared" si="23"/>
        <v>0</v>
      </c>
      <c r="CS49">
        <f t="shared" si="24"/>
        <v>0</v>
      </c>
      <c r="CT49">
        <f t="shared" si="25"/>
        <v>0</v>
      </c>
      <c r="CU49">
        <f t="shared" si="26"/>
        <v>0</v>
      </c>
      <c r="CV49">
        <f t="shared" si="27"/>
        <v>0</v>
      </c>
      <c r="CW49">
        <f t="shared" si="28"/>
        <v>0</v>
      </c>
      <c r="CX49">
        <f t="shared" si="29"/>
        <v>0</v>
      </c>
      <c r="CY49">
        <f t="shared" si="30"/>
        <v>0</v>
      </c>
      <c r="CZ49">
        <f t="shared" si="31"/>
        <v>0</v>
      </c>
      <c r="DA49">
        <f t="shared" si="32"/>
        <v>0</v>
      </c>
    </row>
    <row r="50" spans="1:105" ht="28.5" customHeight="1" x14ac:dyDescent="0.45">
      <c r="A50" s="56"/>
      <c r="B50" s="28"/>
      <c r="C50" s="267"/>
      <c r="D50" s="260"/>
      <c r="E50" s="289" t="s">
        <v>300</v>
      </c>
      <c r="F50" s="290"/>
      <c r="G50" s="290"/>
      <c r="H50" s="290"/>
      <c r="I50" s="291"/>
      <c r="J50" s="54"/>
      <c r="K50" s="145"/>
      <c r="L50" s="233"/>
      <c r="M50" s="234"/>
      <c r="N50" s="234"/>
      <c r="O50" s="234"/>
      <c r="P50" s="235"/>
      <c r="Q50" s="54"/>
      <c r="R50" s="145"/>
      <c r="S50" s="233"/>
      <c r="T50" s="234"/>
      <c r="U50" s="234"/>
      <c r="V50" s="234"/>
      <c r="W50" s="235"/>
      <c r="X50" s="54"/>
      <c r="Y50" s="145"/>
      <c r="Z50" s="233"/>
      <c r="AA50" s="234"/>
      <c r="AB50" s="234"/>
      <c r="AC50" s="234"/>
      <c r="AD50" s="235"/>
      <c r="AE50" s="54"/>
      <c r="AF50" s="145"/>
      <c r="AG50" s="233"/>
      <c r="AH50" s="234"/>
      <c r="AI50" s="234"/>
      <c r="AJ50" s="234"/>
      <c r="AK50" s="235"/>
      <c r="AL50" s="54"/>
      <c r="AM50" s="145"/>
      <c r="AN50" s="233"/>
      <c r="AO50" s="234"/>
      <c r="AP50" s="234"/>
      <c r="AQ50" s="234"/>
      <c r="AR50" s="235"/>
      <c r="AS50" s="54"/>
      <c r="AT50" s="145"/>
      <c r="AU50" s="233"/>
      <c r="AV50" s="234"/>
      <c r="AW50" s="234"/>
      <c r="AX50" s="234"/>
      <c r="AY50" s="235"/>
      <c r="AZ50" s="54"/>
      <c r="BA50" s="145"/>
      <c r="BB50" s="233"/>
      <c r="BC50" s="234"/>
      <c r="BD50" s="234"/>
      <c r="BE50" s="234"/>
      <c r="BF50" s="235"/>
      <c r="BG50" s="54"/>
      <c r="BH50" s="145"/>
      <c r="BI50" s="233"/>
      <c r="BJ50" s="234"/>
      <c r="BK50" s="234"/>
      <c r="BL50" s="234"/>
      <c r="BM50" s="235"/>
      <c r="BN50" s="54"/>
      <c r="BO50" s="145"/>
      <c r="BP50" s="233"/>
      <c r="BQ50" s="234"/>
      <c r="BR50" s="234"/>
      <c r="BS50" s="234"/>
      <c r="BT50" s="235"/>
      <c r="BU50" s="54"/>
      <c r="BV50" s="145"/>
      <c r="BW50" s="233"/>
      <c r="BX50" s="234"/>
      <c r="BY50" s="234"/>
      <c r="BZ50" s="234"/>
      <c r="CA50" s="235"/>
      <c r="CB50" s="54"/>
      <c r="CC50" s="145"/>
      <c r="CD50" s="233"/>
      <c r="CE50" s="234"/>
      <c r="CF50" s="234"/>
      <c r="CG50" s="234"/>
      <c r="CH50" s="235"/>
      <c r="CI50" s="54"/>
      <c r="CJ50" s="145"/>
      <c r="CK50" s="233"/>
      <c r="CL50" s="234"/>
      <c r="CM50" s="234"/>
      <c r="CN50" s="234"/>
      <c r="CO50" s="235"/>
    </row>
    <row r="51" spans="1:105" ht="28.5" customHeight="1" x14ac:dyDescent="0.45">
      <c r="A51" s="56" t="s">
        <v>171</v>
      </c>
      <c r="B51" s="20" t="s">
        <v>61</v>
      </c>
      <c r="C51" s="277" t="s">
        <v>62</v>
      </c>
      <c r="D51" s="230"/>
      <c r="E51" s="283" t="s">
        <v>298</v>
      </c>
      <c r="F51" s="234"/>
      <c r="G51" s="234"/>
      <c r="H51" s="234"/>
      <c r="I51" s="235"/>
      <c r="J51" s="54"/>
      <c r="K51" s="143"/>
      <c r="L51" s="233"/>
      <c r="M51" s="234"/>
      <c r="N51" s="234"/>
      <c r="O51" s="234"/>
      <c r="P51" s="235"/>
      <c r="Q51" s="54"/>
      <c r="R51" s="146"/>
      <c r="S51" s="233"/>
      <c r="T51" s="234"/>
      <c r="U51" s="234"/>
      <c r="V51" s="234"/>
      <c r="W51" s="235"/>
      <c r="X51" s="54"/>
      <c r="Y51" s="146"/>
      <c r="Z51" s="233"/>
      <c r="AA51" s="234"/>
      <c r="AB51" s="234"/>
      <c r="AC51" s="234"/>
      <c r="AD51" s="235"/>
      <c r="AE51" s="54"/>
      <c r="AF51" s="146"/>
      <c r="AG51" s="233"/>
      <c r="AH51" s="234"/>
      <c r="AI51" s="234"/>
      <c r="AJ51" s="234"/>
      <c r="AK51" s="235"/>
      <c r="AL51" s="54"/>
      <c r="AM51" s="146"/>
      <c r="AN51" s="233"/>
      <c r="AO51" s="234"/>
      <c r="AP51" s="234"/>
      <c r="AQ51" s="234"/>
      <c r="AR51" s="235"/>
      <c r="AS51" s="54"/>
      <c r="AT51" s="146"/>
      <c r="AU51" s="233"/>
      <c r="AV51" s="234"/>
      <c r="AW51" s="234"/>
      <c r="AX51" s="234"/>
      <c r="AY51" s="235"/>
      <c r="AZ51" s="54"/>
      <c r="BA51" s="146"/>
      <c r="BB51" s="233"/>
      <c r="BC51" s="234"/>
      <c r="BD51" s="234"/>
      <c r="BE51" s="234"/>
      <c r="BF51" s="235"/>
      <c r="BG51" s="54"/>
      <c r="BH51" s="146"/>
      <c r="BI51" s="233"/>
      <c r="BJ51" s="234"/>
      <c r="BK51" s="234"/>
      <c r="BL51" s="234"/>
      <c r="BM51" s="235"/>
      <c r="BN51" s="54"/>
      <c r="BO51" s="146"/>
      <c r="BP51" s="233"/>
      <c r="BQ51" s="234"/>
      <c r="BR51" s="234"/>
      <c r="BS51" s="234"/>
      <c r="BT51" s="235"/>
      <c r="BU51" s="54"/>
      <c r="BV51" s="146"/>
      <c r="BW51" s="233"/>
      <c r="BX51" s="234"/>
      <c r="BY51" s="234"/>
      <c r="BZ51" s="234"/>
      <c r="CA51" s="235"/>
      <c r="CB51" s="54"/>
      <c r="CC51" s="146"/>
      <c r="CD51" s="233"/>
      <c r="CE51" s="234"/>
      <c r="CF51" s="234"/>
      <c r="CG51" s="234"/>
      <c r="CH51" s="235"/>
      <c r="CI51" s="54"/>
      <c r="CJ51" s="146"/>
      <c r="CK51" s="233"/>
      <c r="CL51" s="234"/>
      <c r="CM51" s="234"/>
      <c r="CN51" s="234"/>
      <c r="CO51" s="235"/>
      <c r="CP51">
        <f>IF(J51="нет",1,0)</f>
        <v>0</v>
      </c>
      <c r="CQ51">
        <f>IF(Q51="нет",1,0)</f>
        <v>0</v>
      </c>
      <c r="CR51">
        <f>IF(X51="нет",1,0)</f>
        <v>0</v>
      </c>
      <c r="CS51">
        <f>IF(AE51="нет",1,0)</f>
        <v>0</v>
      </c>
      <c r="CT51">
        <f>IF(AL51="нет",1,0)</f>
        <v>0</v>
      </c>
      <c r="CU51">
        <f>IF(AS51="нет",1,0)</f>
        <v>0</v>
      </c>
      <c r="CV51">
        <f>IF(AZ51="нет",1,0)</f>
        <v>0</v>
      </c>
      <c r="CW51">
        <f>IF(BG51="нет",1,0)</f>
        <v>0</v>
      </c>
      <c r="CX51">
        <f>IF(BN51="нет",1,0)</f>
        <v>0</v>
      </c>
      <c r="CY51">
        <f>IF(BU51="нет",1,0)</f>
        <v>0</v>
      </c>
      <c r="CZ51">
        <f>IF(CB51="нет",1,0)</f>
        <v>0</v>
      </c>
      <c r="DA51">
        <f>IF(CI51="нет",1,0)</f>
        <v>0</v>
      </c>
    </row>
    <row r="52" spans="1:105" ht="28.5" customHeight="1" thickBot="1" x14ac:dyDescent="0.5">
      <c r="B52" s="94" t="s">
        <v>64</v>
      </c>
      <c r="C52" s="293" t="s">
        <v>65</v>
      </c>
      <c r="D52" s="269"/>
      <c r="E52" s="281" t="s">
        <v>172</v>
      </c>
      <c r="F52" s="269"/>
      <c r="G52" s="269"/>
      <c r="H52" s="269"/>
      <c r="I52" s="251"/>
      <c r="J52" s="54"/>
      <c r="K52" s="148"/>
      <c r="L52" s="268"/>
      <c r="M52" s="269"/>
      <c r="N52" s="269"/>
      <c r="O52" s="269"/>
      <c r="P52" s="251"/>
      <c r="Q52" s="54"/>
      <c r="R52" s="148"/>
      <c r="S52" s="268"/>
      <c r="T52" s="269"/>
      <c r="U52" s="269"/>
      <c r="V52" s="269"/>
      <c r="W52" s="251"/>
      <c r="X52" s="54"/>
      <c r="Y52" s="148"/>
      <c r="Z52" s="268"/>
      <c r="AA52" s="269"/>
      <c r="AB52" s="269"/>
      <c r="AC52" s="269"/>
      <c r="AD52" s="251"/>
      <c r="AE52" s="54"/>
      <c r="AF52" s="148"/>
      <c r="AG52" s="268"/>
      <c r="AH52" s="269"/>
      <c r="AI52" s="269"/>
      <c r="AJ52" s="269"/>
      <c r="AK52" s="251"/>
      <c r="AL52" s="54"/>
      <c r="AM52" s="148"/>
      <c r="AN52" s="268"/>
      <c r="AO52" s="269"/>
      <c r="AP52" s="269"/>
      <c r="AQ52" s="269"/>
      <c r="AR52" s="251"/>
      <c r="AS52" s="54"/>
      <c r="AT52" s="148"/>
      <c r="AU52" s="268"/>
      <c r="AV52" s="269"/>
      <c r="AW52" s="269"/>
      <c r="AX52" s="269"/>
      <c r="AY52" s="251"/>
      <c r="AZ52" s="54"/>
      <c r="BA52" s="148"/>
      <c r="BB52" s="268"/>
      <c r="BC52" s="269"/>
      <c r="BD52" s="269"/>
      <c r="BE52" s="269"/>
      <c r="BF52" s="251"/>
      <c r="BG52" s="54"/>
      <c r="BH52" s="148"/>
      <c r="BI52" s="268"/>
      <c r="BJ52" s="269"/>
      <c r="BK52" s="269"/>
      <c r="BL52" s="269"/>
      <c r="BM52" s="251"/>
      <c r="BN52" s="54"/>
      <c r="BO52" s="148"/>
      <c r="BP52" s="268"/>
      <c r="BQ52" s="269"/>
      <c r="BR52" s="269"/>
      <c r="BS52" s="269"/>
      <c r="BT52" s="251"/>
      <c r="BU52" s="54"/>
      <c r="BV52" s="148"/>
      <c r="BW52" s="268"/>
      <c r="BX52" s="269"/>
      <c r="BY52" s="269"/>
      <c r="BZ52" s="269"/>
      <c r="CA52" s="251"/>
      <c r="CB52" s="54"/>
      <c r="CC52" s="148"/>
      <c r="CD52" s="268"/>
      <c r="CE52" s="269"/>
      <c r="CF52" s="269"/>
      <c r="CG52" s="269"/>
      <c r="CH52" s="251"/>
      <c r="CI52" s="54"/>
      <c r="CJ52" s="148"/>
      <c r="CK52" s="268"/>
      <c r="CL52" s="269"/>
      <c r="CM52" s="269"/>
      <c r="CN52" s="269"/>
      <c r="CO52" s="251"/>
      <c r="CP52">
        <f>IF(J52="нет",1,0)</f>
        <v>0</v>
      </c>
      <c r="CQ52">
        <f>IF(Q52="нет",1,0)</f>
        <v>0</v>
      </c>
      <c r="CR52">
        <f>IF(X52="нет",1,0)</f>
        <v>0</v>
      </c>
      <c r="CS52">
        <f>IF(AE52="нет",1,0)</f>
        <v>0</v>
      </c>
      <c r="CT52">
        <f>IF(AL52="нет",1,0)</f>
        <v>0</v>
      </c>
      <c r="CU52">
        <f>IF(AS52="нет",1,0)</f>
        <v>0</v>
      </c>
      <c r="CV52">
        <f>IF(AZ52="нет",1,0)</f>
        <v>0</v>
      </c>
      <c r="CW52">
        <f>IF(BG52="нет",1,0)</f>
        <v>0</v>
      </c>
      <c r="CX52">
        <f>IF(BN52="нет",1,0)</f>
        <v>0</v>
      </c>
      <c r="CY52">
        <f>IF(BU52="нет",1,0)</f>
        <v>0</v>
      </c>
      <c r="CZ52">
        <f>IF(CB52="нет",1,0)</f>
        <v>0</v>
      </c>
      <c r="DA52">
        <f>IF(CI52="нет",1,0)</f>
        <v>0</v>
      </c>
    </row>
    <row r="53" spans="1:105" ht="14.65" thickBot="1" x14ac:dyDescent="0.5">
      <c r="B53" s="280" t="s">
        <v>304</v>
      </c>
      <c r="C53" s="257"/>
      <c r="D53" s="257"/>
      <c r="E53" s="257"/>
      <c r="F53" s="257"/>
      <c r="G53" s="257"/>
      <c r="H53" s="257"/>
      <c r="I53" s="257"/>
      <c r="J53" s="149"/>
      <c r="K53" s="150"/>
      <c r="L53" s="256"/>
      <c r="M53" s="257"/>
      <c r="N53" s="257"/>
      <c r="O53" s="257"/>
      <c r="P53" s="258"/>
      <c r="Q53" s="149"/>
      <c r="R53" s="150"/>
      <c r="S53" s="256"/>
      <c r="T53" s="257"/>
      <c r="U53" s="257"/>
      <c r="V53" s="257"/>
      <c r="W53" s="258"/>
      <c r="X53" s="149"/>
      <c r="Y53" s="150"/>
      <c r="Z53" s="256"/>
      <c r="AA53" s="257"/>
      <c r="AB53" s="257"/>
      <c r="AC53" s="257"/>
      <c r="AD53" s="258"/>
      <c r="AE53" s="149"/>
      <c r="AF53" s="150"/>
      <c r="AG53" s="256"/>
      <c r="AH53" s="257"/>
      <c r="AI53" s="257"/>
      <c r="AJ53" s="257"/>
      <c r="AK53" s="258"/>
      <c r="AL53" s="149"/>
      <c r="AM53" s="150"/>
      <c r="AN53" s="256"/>
      <c r="AO53" s="257"/>
      <c r="AP53" s="257"/>
      <c r="AQ53" s="257"/>
      <c r="AR53" s="258"/>
      <c r="AS53" s="149"/>
      <c r="AT53" s="150"/>
      <c r="AU53" s="256"/>
      <c r="AV53" s="257"/>
      <c r="AW53" s="257"/>
      <c r="AX53" s="257"/>
      <c r="AY53" s="258"/>
      <c r="AZ53" s="149"/>
      <c r="BA53" s="150"/>
      <c r="BB53" s="256"/>
      <c r="BC53" s="257"/>
      <c r="BD53" s="257"/>
      <c r="BE53" s="257"/>
      <c r="BF53" s="258"/>
      <c r="BG53" s="149"/>
      <c r="BH53" s="150"/>
      <c r="BI53" s="256"/>
      <c r="BJ53" s="257"/>
      <c r="BK53" s="257"/>
      <c r="BL53" s="257"/>
      <c r="BM53" s="258"/>
      <c r="BN53" s="149"/>
      <c r="BO53" s="150"/>
      <c r="BP53" s="256"/>
      <c r="BQ53" s="257"/>
      <c r="BR53" s="257"/>
      <c r="BS53" s="257"/>
      <c r="BT53" s="258"/>
      <c r="BU53" s="149"/>
      <c r="BV53" s="150"/>
      <c r="BW53" s="256"/>
      <c r="BX53" s="257"/>
      <c r="BY53" s="257"/>
      <c r="BZ53" s="257"/>
      <c r="CA53" s="258"/>
      <c r="CB53" s="149"/>
      <c r="CC53" s="150"/>
      <c r="CD53" s="256"/>
      <c r="CE53" s="257"/>
      <c r="CF53" s="257"/>
      <c r="CG53" s="257"/>
      <c r="CH53" s="258"/>
      <c r="CI53" s="149"/>
      <c r="CJ53" s="150"/>
      <c r="CK53" s="256"/>
      <c r="CL53" s="257"/>
      <c r="CM53" s="257"/>
      <c r="CN53" s="257"/>
      <c r="CO53" s="258"/>
    </row>
    <row r="54" spans="1:105" ht="14.65" thickBot="1" x14ac:dyDescent="0.5">
      <c r="A54" s="56"/>
      <c r="B54" s="111"/>
      <c r="C54" s="112"/>
      <c r="D54" s="112"/>
      <c r="E54" s="112"/>
      <c r="F54" s="112"/>
      <c r="G54" s="112"/>
      <c r="H54" s="112"/>
      <c r="I54" s="112"/>
      <c r="J54" s="88">
        <f>COUNTA(J27:J52)</f>
        <v>0</v>
      </c>
      <c r="K54" s="151"/>
      <c r="L54" s="152"/>
      <c r="M54" s="152"/>
      <c r="N54" s="152"/>
      <c r="O54" s="152"/>
      <c r="P54" s="153"/>
      <c r="Q54" s="88">
        <f>COUNTA(Q27:Q52)</f>
        <v>0</v>
      </c>
      <c r="R54" s="151"/>
      <c r="S54" s="152"/>
      <c r="T54" s="152"/>
      <c r="U54" s="152"/>
      <c r="V54" s="152"/>
      <c r="W54" s="153"/>
      <c r="X54" s="88">
        <f>COUNTA(X27:X52)</f>
        <v>0</v>
      </c>
      <c r="Y54" s="151"/>
      <c r="Z54" s="152"/>
      <c r="AA54" s="152"/>
      <c r="AB54" s="152"/>
      <c r="AC54" s="152"/>
      <c r="AD54" s="153"/>
      <c r="AE54" s="88">
        <f>COUNTA(AE27:AE52)</f>
        <v>0</v>
      </c>
      <c r="AF54" s="151"/>
      <c r="AG54" s="152"/>
      <c r="AH54" s="152"/>
      <c r="AI54" s="152"/>
      <c r="AJ54" s="152"/>
      <c r="AK54" s="153"/>
      <c r="AL54" s="88">
        <f>COUNTA(AL27:AL52)</f>
        <v>0</v>
      </c>
      <c r="AM54" s="151"/>
      <c r="AN54" s="152"/>
      <c r="AO54" s="152"/>
      <c r="AP54" s="152"/>
      <c r="AQ54" s="152"/>
      <c r="AR54" s="153"/>
      <c r="AS54" s="88">
        <f>COUNTA(AS27:AS52)</f>
        <v>0</v>
      </c>
      <c r="AT54" s="151"/>
      <c r="AU54" s="152"/>
      <c r="AV54" s="152"/>
      <c r="AW54" s="152"/>
      <c r="AX54" s="152"/>
      <c r="AY54" s="153"/>
      <c r="AZ54" s="88">
        <f>COUNTA(AZ27:AZ52)</f>
        <v>0</v>
      </c>
      <c r="BA54" s="151"/>
      <c r="BB54" s="152"/>
      <c r="BC54" s="152"/>
      <c r="BD54" s="152"/>
      <c r="BE54" s="152"/>
      <c r="BF54" s="153"/>
      <c r="BG54" s="88">
        <f>COUNTA(BG27:BG52)</f>
        <v>0</v>
      </c>
      <c r="BH54" s="151"/>
      <c r="BI54" s="152"/>
      <c r="BJ54" s="152"/>
      <c r="BK54" s="152"/>
      <c r="BL54" s="152"/>
      <c r="BM54" s="153"/>
      <c r="BN54" s="88">
        <f>COUNTA(BN27:BN52)</f>
        <v>0</v>
      </c>
      <c r="BO54" s="151"/>
      <c r="BP54" s="152"/>
      <c r="BQ54" s="152"/>
      <c r="BR54" s="152"/>
      <c r="BS54" s="152"/>
      <c r="BT54" s="153"/>
      <c r="BU54" s="88">
        <f>COUNTA(BU27:BU52)</f>
        <v>0</v>
      </c>
      <c r="BV54" s="151"/>
      <c r="BW54" s="152"/>
      <c r="BX54" s="152"/>
      <c r="BY54" s="152"/>
      <c r="BZ54" s="152"/>
      <c r="CA54" s="153"/>
      <c r="CB54" s="88">
        <f>COUNTA(CB27:CB52)</f>
        <v>0</v>
      </c>
      <c r="CC54" s="151"/>
      <c r="CD54" s="152"/>
      <c r="CE54" s="152"/>
      <c r="CF54" s="152"/>
      <c r="CG54" s="152"/>
      <c r="CH54" s="153"/>
      <c r="CI54" s="88">
        <f>COUNTA(CI27:CI52)</f>
        <v>0</v>
      </c>
      <c r="CJ54" s="151"/>
      <c r="CK54" s="152"/>
      <c r="CL54" s="152"/>
      <c r="CM54" s="152"/>
      <c r="CN54" s="152"/>
      <c r="CO54" s="153"/>
    </row>
    <row r="55" spans="1:105" ht="14.65" thickBot="1" x14ac:dyDescent="0.5">
      <c r="A55" s="96"/>
      <c r="B55" s="111" t="s">
        <v>173</v>
      </c>
      <c r="C55" s="112"/>
      <c r="D55" s="112"/>
      <c r="E55" s="112"/>
      <c r="F55" s="112"/>
      <c r="G55" s="112"/>
      <c r="H55" s="112"/>
      <c r="I55" s="112"/>
      <c r="J55" s="154"/>
      <c r="K55" s="155" t="str">
        <f>IF(J$54&gt;0,MIN(K$25:K$53),"")</f>
        <v/>
      </c>
      <c r="L55" s="156"/>
      <c r="M55" s="156"/>
      <c r="N55" s="156"/>
      <c r="O55" s="156"/>
      <c r="P55" s="157"/>
      <c r="Q55" s="154"/>
      <c r="R55" s="155" t="str">
        <f>IF(Q$54&gt;0,MIN(R$25:R$53),"")</f>
        <v/>
      </c>
      <c r="S55" s="156"/>
      <c r="T55" s="156"/>
      <c r="U55" s="156"/>
      <c r="V55" s="156"/>
      <c r="W55" s="157"/>
      <c r="X55" s="154"/>
      <c r="Y55" s="155" t="str">
        <f>IF(X$54&gt;0,MIN(Y$25:Y$53),"")</f>
        <v/>
      </c>
      <c r="Z55" s="156"/>
      <c r="AA55" s="156"/>
      <c r="AB55" s="156"/>
      <c r="AC55" s="156"/>
      <c r="AD55" s="157"/>
      <c r="AE55" s="154"/>
      <c r="AF55" s="155" t="str">
        <f>IF(AE$54&gt;0,MIN(AF$25:AF$53),"")</f>
        <v/>
      </c>
      <c r="AG55" s="156"/>
      <c r="AH55" s="156"/>
      <c r="AI55" s="156"/>
      <c r="AJ55" s="156"/>
      <c r="AK55" s="157"/>
      <c r="AL55" s="154"/>
      <c r="AM55" s="155" t="str">
        <f>IF(AL$54&gt;0,MIN(AM$25:AM$53),"")</f>
        <v/>
      </c>
      <c r="AN55" s="156"/>
      <c r="AO55" s="156"/>
      <c r="AP55" s="156"/>
      <c r="AQ55" s="156"/>
      <c r="AR55" s="157"/>
      <c r="AS55" s="154"/>
      <c r="AT55" s="155" t="str">
        <f>IF(AS$54&gt;0,MIN(AT$25:AT$53),"")</f>
        <v/>
      </c>
      <c r="AU55" s="156"/>
      <c r="AV55" s="156"/>
      <c r="AW55" s="156"/>
      <c r="AX55" s="156"/>
      <c r="AY55" s="157"/>
      <c r="AZ55" s="154"/>
      <c r="BA55" s="155" t="str">
        <f>IF(AZ$54&gt;0,MIN(BA$25:BA$53),"")</f>
        <v/>
      </c>
      <c r="BB55" s="156"/>
      <c r="BC55" s="156"/>
      <c r="BD55" s="156"/>
      <c r="BE55" s="156"/>
      <c r="BF55" s="157"/>
      <c r="BG55" s="154"/>
      <c r="BH55" s="155" t="str">
        <f>IF(BG$54&gt;0,MIN(BH$25:BH$53),"")</f>
        <v/>
      </c>
      <c r="BI55" s="156"/>
      <c r="BJ55" s="156"/>
      <c r="BK55" s="156"/>
      <c r="BL55" s="156"/>
      <c r="BM55" s="157"/>
      <c r="BN55" s="154"/>
      <c r="BO55" s="155" t="str">
        <f>IF(BN$54&gt;0,MIN(BO$25:BO$53),"")</f>
        <v/>
      </c>
      <c r="BP55" s="156"/>
      <c r="BQ55" s="156"/>
      <c r="BR55" s="156"/>
      <c r="BS55" s="156"/>
      <c r="BT55" s="157"/>
      <c r="BU55" s="154"/>
      <c r="BV55" s="155" t="str">
        <f>IF(BU$54&gt;0,MIN(BV$25:BV$53),"")</f>
        <v/>
      </c>
      <c r="BW55" s="156"/>
      <c r="BX55" s="156"/>
      <c r="BY55" s="156"/>
      <c r="BZ55" s="156"/>
      <c r="CA55" s="157"/>
      <c r="CB55" s="154"/>
      <c r="CC55" s="155" t="str">
        <f>IF(CB$54&gt;0,MIN(CC$25:CC$53),"")</f>
        <v/>
      </c>
      <c r="CD55" s="156"/>
      <c r="CE55" s="156"/>
      <c r="CF55" s="156"/>
      <c r="CG55" s="156"/>
      <c r="CH55" s="157"/>
      <c r="CI55" s="154"/>
      <c r="CJ55" s="155" t="str">
        <f>IF(CI$54&gt;0,MIN(CJ$25:CJ$53),"")</f>
        <v/>
      </c>
      <c r="CK55" s="156"/>
      <c r="CL55" s="156"/>
      <c r="CM55" s="156"/>
      <c r="CN55" s="156"/>
      <c r="CO55" s="157"/>
      <c r="CP55" t="e">
        <f>CP25+CP26+CP27+#REF!+CP28+CP29+CP30+CP31+CP32+CP33+CP34+CP36+CP37+CP38+CP39+CP40+CP42+CP45+CP46+CP47+CP48+CP49+CP51+CP52</f>
        <v>#REF!</v>
      </c>
      <c r="CQ55" s="176" t="e">
        <f>CQ25+CQ26+CQ27+#REF!+CQ28+CQ29+CQ30+CQ31+CQ32+CQ33+CQ34+CQ36+CQ37+CQ38+CQ39+CQ40+CQ42+CQ45+CQ46+CQ47+CQ48+CQ49+CQ51+CQ52</f>
        <v>#REF!</v>
      </c>
      <c r="CR55" s="176" t="e">
        <f>CR25+CR26+CR27+#REF!+CR28+CR29+CR30+CR31+CR32+CR33+CR34+CR36+CR37+CR38+CR39+CR40+CR42+CR45+CR46+CR47+CR48+CR49+CR51+CR52</f>
        <v>#REF!</v>
      </c>
      <c r="CS55" s="176" t="e">
        <f>CS25+CS26+CS27+#REF!+CS28+CS29+CS30+CS31+CS32+CS33+CS34+CS36+CS37+CS38+CS39+CS40+CS42+CS45+CS46+CS47+CS48+CS49+CS51+CS52</f>
        <v>#REF!</v>
      </c>
      <c r="CT55" s="176" t="e">
        <f>CT25+CT26+CT27+#REF!+CT28+CT29+CT30+CT31+CT32+CT33+CT34+CT36+CT37+CT38+CT39+CT40+CT42+CT45+CT46+CT47+CT48+CT49+CT51+CT52</f>
        <v>#REF!</v>
      </c>
      <c r="CU55" s="176" t="e">
        <f>CU25+CU26+CU27+#REF!+CU28+CU29+CU30+CU31+CU32+CU33+CU34+CU36+CU37+CU38+CU39+CU40+CU42+CU45+CU46+CU47+CU48+CU49+CU51+CU52</f>
        <v>#REF!</v>
      </c>
      <c r="CV55" s="176" t="e">
        <f>CV25+CV26+CV27+#REF!+CV28+CV29+CV30+CV31+CV32+CV33+CV34+CV36+CV37+CV38+CV39+CV40+CV42+CV45+CV46+CV47+CV48+CV49+CV51+CV52</f>
        <v>#REF!</v>
      </c>
      <c r="CW55" s="176" t="e">
        <f>CW25+CW26+CW27+#REF!+CW28+CW29+CW30+CW31+CW32+CW33+CW34+CW36+CW37+CW38+CW39+CW40+CW42+CW45+CW46+CW47+CW48+CW49+CW51+CW52</f>
        <v>#REF!</v>
      </c>
      <c r="CX55" s="176" t="e">
        <f>CX25+CX26+CX27+#REF!+CX28+CX29+CX30+CX31+CX32+CX33+CX34+CX36+CX37+CX38+CX39+CX40+CX42+CX45+CX46+CX47+CX48+CX49+CX51+CX52</f>
        <v>#REF!</v>
      </c>
      <c r="CY55" s="176" t="e">
        <f>CY25+CY26+CY27+#REF!+CY28+CY29+CY30+CY31+CY32+CY33+CY34+CY36+CY37+CY38+CY39+CY40+CY42+CY45+CY46+CY47+CY48+CY49+CY51+CY52</f>
        <v>#REF!</v>
      </c>
      <c r="CZ55" s="176" t="e">
        <f>CZ25+CZ26+CZ27+#REF!+CZ28+CZ29+CZ30+CZ31+CZ32+CZ33+CZ34+CZ36+CZ37+CZ38+CZ39+CZ40+CZ42+CZ45+CZ46+CZ47+CZ48+CZ49+CZ51+CZ52</f>
        <v>#REF!</v>
      </c>
      <c r="DA55" s="176" t="e">
        <f>DA25+DA26+DA27+#REF!+DA28+DA29+DA30+DA31+DA32+DA33+DA34+DA36+DA37+DA38+DA39+DA40+DA42+DA45+DA46+DA47+DA48+DA49+DA51+DA52</f>
        <v>#REF!</v>
      </c>
    </row>
    <row r="56" spans="1:105" ht="14.65" customHeight="1" thickBot="1" x14ac:dyDescent="0.5">
      <c r="A56" s="96"/>
      <c r="B56" s="111" t="s">
        <v>174</v>
      </c>
      <c r="C56" s="112"/>
      <c r="D56" s="112"/>
      <c r="E56" s="112"/>
      <c r="F56" s="112"/>
      <c r="G56" s="112"/>
      <c r="H56" s="112"/>
      <c r="I56" s="112"/>
      <c r="J56" s="158"/>
      <c r="K56" s="155" t="str">
        <f>IF(J$54&gt;0,MAX(K$25:K$53),"")</f>
        <v/>
      </c>
      <c r="L56" s="152"/>
      <c r="M56" s="152"/>
      <c r="N56" s="152"/>
      <c r="O56" s="152"/>
      <c r="P56" s="153"/>
      <c r="Q56" s="158"/>
      <c r="R56" s="155" t="str">
        <f>IF(Q$54&gt;0,MAX(R$25:R$53),"")</f>
        <v/>
      </c>
      <c r="S56" s="152"/>
      <c r="T56" s="152"/>
      <c r="U56" s="152"/>
      <c r="V56" s="152"/>
      <c r="W56" s="153"/>
      <c r="X56" s="158"/>
      <c r="Y56" s="155" t="str">
        <f>IF(X$54&gt;0,MAX(Y$25:Y$53),"")</f>
        <v/>
      </c>
      <c r="Z56" s="152"/>
      <c r="AA56" s="152"/>
      <c r="AB56" s="152"/>
      <c r="AC56" s="152"/>
      <c r="AD56" s="153"/>
      <c r="AE56" s="158"/>
      <c r="AF56" s="155" t="str">
        <f>IF(AE$54&gt;0,MAX(AF$25:AF$53),"")</f>
        <v/>
      </c>
      <c r="AG56" s="152"/>
      <c r="AH56" s="152"/>
      <c r="AI56" s="152"/>
      <c r="AJ56" s="152"/>
      <c r="AK56" s="153"/>
      <c r="AL56" s="158"/>
      <c r="AM56" s="155" t="str">
        <f>IF(AL$54&gt;0,MAX(AM$25:AM$53),"")</f>
        <v/>
      </c>
      <c r="AN56" s="152"/>
      <c r="AO56" s="152"/>
      <c r="AP56" s="152"/>
      <c r="AQ56" s="152"/>
      <c r="AR56" s="153"/>
      <c r="AS56" s="158"/>
      <c r="AT56" s="155" t="str">
        <f>IF(AS$54&gt;0,MAX(AT$25:AT$53),"")</f>
        <v/>
      </c>
      <c r="AU56" s="152"/>
      <c r="AV56" s="152"/>
      <c r="AW56" s="152"/>
      <c r="AX56" s="152"/>
      <c r="AY56" s="153"/>
      <c r="AZ56" s="158"/>
      <c r="BA56" s="155" t="str">
        <f>IF(AZ$54&gt;0,MAX(BA$25:BA$53),"")</f>
        <v/>
      </c>
      <c r="BB56" s="152"/>
      <c r="BC56" s="152"/>
      <c r="BD56" s="152"/>
      <c r="BE56" s="152"/>
      <c r="BF56" s="153"/>
      <c r="BG56" s="158"/>
      <c r="BH56" s="155" t="str">
        <f>IF(BG$54&gt;0,MAX(BH$25:BH$53),"")</f>
        <v/>
      </c>
      <c r="BI56" s="152"/>
      <c r="BJ56" s="152"/>
      <c r="BK56" s="152"/>
      <c r="BL56" s="152"/>
      <c r="BM56" s="153"/>
      <c r="BN56" s="158"/>
      <c r="BO56" s="155" t="str">
        <f>IF(BN$54&gt;0,MAX(BO$25:BO$53),"")</f>
        <v/>
      </c>
      <c r="BP56" s="152"/>
      <c r="BQ56" s="152"/>
      <c r="BR56" s="152"/>
      <c r="BS56" s="152"/>
      <c r="BT56" s="153"/>
      <c r="BU56" s="158"/>
      <c r="BV56" s="155" t="str">
        <f>IF(BU$54&gt;0,MAX(BV$25:BV$53),"")</f>
        <v/>
      </c>
      <c r="BW56" s="152"/>
      <c r="BX56" s="152"/>
      <c r="BY56" s="152"/>
      <c r="BZ56" s="152"/>
      <c r="CA56" s="153"/>
      <c r="CB56" s="158"/>
      <c r="CC56" s="155" t="str">
        <f>IF(CB$54&gt;0,MAX(CC$25:CC$53),"")</f>
        <v/>
      </c>
      <c r="CD56" s="152"/>
      <c r="CE56" s="152"/>
      <c r="CF56" s="152"/>
      <c r="CG56" s="152"/>
      <c r="CH56" s="153"/>
      <c r="CI56" s="158"/>
      <c r="CJ56" s="155" t="str">
        <f>IF(CI$54&gt;0,MAX(CJ$25:CJ$53),"")</f>
        <v/>
      </c>
      <c r="CK56" s="152"/>
      <c r="CL56" s="152"/>
      <c r="CM56" s="152"/>
      <c r="CN56" s="152"/>
      <c r="CO56" s="153"/>
    </row>
    <row r="57" spans="1:105" ht="71.25" customHeight="1" thickBot="1" x14ac:dyDescent="0.5">
      <c r="A57" s="98" t="s">
        <v>175</v>
      </c>
      <c r="B57" s="29" t="s">
        <v>176</v>
      </c>
      <c r="C57" s="30"/>
      <c r="D57" s="30"/>
      <c r="E57" s="30"/>
      <c r="F57" s="30"/>
      <c r="G57" s="31"/>
      <c r="H57" s="112"/>
      <c r="I57" s="30"/>
      <c r="J57" s="159"/>
      <c r="K57" s="151" t="str">
        <f>IF(OR(J54=0,K55="",K56=""),"",K56-K55)</f>
        <v/>
      </c>
      <c r="L57" s="160"/>
      <c r="M57" s="160"/>
      <c r="N57" s="160"/>
      <c r="O57" s="160"/>
      <c r="P57" s="161"/>
      <c r="Q57" s="159"/>
      <c r="R57" s="151" t="str">
        <f>IF(OR(Q54=0,R55="",R56=""),"",R56-R55)</f>
        <v/>
      </c>
      <c r="S57" s="160"/>
      <c r="T57" s="160"/>
      <c r="U57" s="160"/>
      <c r="V57" s="160"/>
      <c r="W57" s="161"/>
      <c r="X57" s="159"/>
      <c r="Y57" s="151" t="str">
        <f>IF(OR(X54=0,Y55="",Y56=""),"",Y56-Y55)</f>
        <v/>
      </c>
      <c r="Z57" s="160"/>
      <c r="AA57" s="160"/>
      <c r="AB57" s="160"/>
      <c r="AC57" s="160"/>
      <c r="AD57" s="161"/>
      <c r="AE57" s="159"/>
      <c r="AF57" s="151" t="str">
        <f>IF(OR(AE54=0,AF55="",AF56=""),"",AF56-AF55)</f>
        <v/>
      </c>
      <c r="AG57" s="160"/>
      <c r="AH57" s="160"/>
      <c r="AI57" s="160"/>
      <c r="AJ57" s="160"/>
      <c r="AK57" s="161"/>
      <c r="AL57" s="159"/>
      <c r="AM57" s="151" t="str">
        <f>IF(OR(AL54=0,AM55="",AM56=""),"",AM56-AM55)</f>
        <v/>
      </c>
      <c r="AN57" s="160"/>
      <c r="AO57" s="160"/>
      <c r="AP57" s="160"/>
      <c r="AQ57" s="160"/>
      <c r="AR57" s="161"/>
      <c r="AS57" s="159"/>
      <c r="AT57" s="151" t="str">
        <f>IF(OR(AS54=0,AT55="",AT56=""),"",AT56-AT55)</f>
        <v/>
      </c>
      <c r="AU57" s="160"/>
      <c r="AV57" s="160"/>
      <c r="AW57" s="160"/>
      <c r="AX57" s="160"/>
      <c r="AY57" s="161"/>
      <c r="AZ57" s="159"/>
      <c r="BA57" s="151" t="str">
        <f>IF(OR(AZ54=0,BA55="",BA56=""),"",BA56-BA55)</f>
        <v/>
      </c>
      <c r="BB57" s="160"/>
      <c r="BC57" s="160"/>
      <c r="BD57" s="160"/>
      <c r="BE57" s="160"/>
      <c r="BF57" s="161"/>
      <c r="BG57" s="159"/>
      <c r="BH57" s="151" t="str">
        <f>IF(OR(BG54=0,BH55="",BH56=""),"",BH56-BH55)</f>
        <v/>
      </c>
      <c r="BI57" s="160"/>
      <c r="BJ57" s="160"/>
      <c r="BK57" s="160"/>
      <c r="BL57" s="160"/>
      <c r="BM57" s="161"/>
      <c r="BN57" s="159"/>
      <c r="BO57" s="151" t="str">
        <f>IF(OR(BN54=0,BO55="",BO56=""),"",BO56-BO55)</f>
        <v/>
      </c>
      <c r="BP57" s="160"/>
      <c r="BQ57" s="160"/>
      <c r="BR57" s="160"/>
      <c r="BS57" s="160"/>
      <c r="BT57" s="161"/>
      <c r="BU57" s="159"/>
      <c r="BV57" s="151" t="str">
        <f>IF(OR(BU54=0,BV55="",BV56=""),"",BV56-BV55)</f>
        <v/>
      </c>
      <c r="BW57" s="160"/>
      <c r="BX57" s="160"/>
      <c r="BY57" s="160"/>
      <c r="BZ57" s="160"/>
      <c r="CA57" s="161"/>
      <c r="CB57" s="159"/>
      <c r="CC57" s="151" t="str">
        <f>IF(OR(CB54=0,CC55="",CC56=""),"",CC56-CC55)</f>
        <v/>
      </c>
      <c r="CD57" s="160"/>
      <c r="CE57" s="160"/>
      <c r="CF57" s="160"/>
      <c r="CG57" s="160"/>
      <c r="CH57" s="161"/>
      <c r="CI57" s="159"/>
      <c r="CJ57" s="151" t="str">
        <f>IF(OR(CI54=0,CJ55="",CJ56=""),"",CJ56-CJ55)</f>
        <v/>
      </c>
      <c r="CK57" s="160"/>
      <c r="CL57" s="160"/>
      <c r="CM57" s="160"/>
      <c r="CN57" s="160"/>
      <c r="CO57" s="161"/>
    </row>
    <row r="58" spans="1:105" ht="14.25" customHeight="1" x14ac:dyDescent="0.45">
      <c r="A58" s="265" t="s">
        <v>177</v>
      </c>
      <c r="B58" s="86" t="s">
        <v>178</v>
      </c>
      <c r="C58" s="86"/>
      <c r="D58" s="86"/>
      <c r="E58" s="86"/>
      <c r="F58" s="86"/>
      <c r="G58" s="36"/>
      <c r="H58" s="87"/>
      <c r="I58" s="86"/>
      <c r="J58" s="36"/>
      <c r="K58" s="162" t="str">
        <f>IF(SUM(J54,Q54,X54,AE54,AL54,AS54,AZ54,BG54,BN54,BU54,CB54,CI54)=0,"",MAX(K56:CJ56))</f>
        <v/>
      </c>
      <c r="L58" s="125"/>
      <c r="M58" s="125"/>
      <c r="N58" s="125"/>
      <c r="O58" s="125"/>
      <c r="P58" s="125"/>
      <c r="Q58" s="36"/>
      <c r="R58" s="162"/>
      <c r="S58" s="125"/>
      <c r="T58" s="125"/>
      <c r="U58" s="125"/>
      <c r="V58" s="125"/>
      <c r="W58" s="125"/>
      <c r="X58" s="36"/>
      <c r="Y58" s="162"/>
      <c r="Z58" s="125"/>
      <c r="AA58" s="125"/>
      <c r="AB58" s="125"/>
      <c r="AC58" s="125"/>
      <c r="AD58" s="125"/>
      <c r="AE58" s="36"/>
      <c r="AF58" s="162"/>
      <c r="AG58" s="125"/>
      <c r="AH58" s="125"/>
      <c r="AI58" s="125"/>
      <c r="AJ58" s="125"/>
      <c r="AK58" s="125"/>
      <c r="AL58" s="36"/>
      <c r="AM58" s="162"/>
      <c r="AN58" s="125"/>
      <c r="AO58" s="125"/>
      <c r="AP58" s="125"/>
      <c r="AQ58" s="125"/>
      <c r="AR58" s="125"/>
      <c r="AS58" s="36"/>
      <c r="AT58" s="162"/>
      <c r="AU58" s="125"/>
      <c r="AV58" s="125"/>
      <c r="AW58" s="125"/>
      <c r="AX58" s="125"/>
      <c r="AY58" s="125"/>
      <c r="AZ58" s="36"/>
      <c r="BA58" s="162"/>
      <c r="BB58" s="125"/>
      <c r="BC58" s="125"/>
      <c r="BD58" s="125"/>
      <c r="BE58" s="125"/>
      <c r="BF58" s="125"/>
      <c r="BG58" s="36"/>
      <c r="BH58" s="162"/>
      <c r="BI58" s="125"/>
      <c r="BJ58" s="125"/>
      <c r="BK58" s="125"/>
      <c r="BL58" s="125"/>
      <c r="BM58" s="125"/>
      <c r="BN58" s="36"/>
      <c r="BO58" s="162"/>
      <c r="BP58" s="125"/>
      <c r="BQ58" s="125"/>
      <c r="BR58" s="125"/>
      <c r="BS58" s="125"/>
      <c r="BT58" s="125"/>
      <c r="BU58" s="36"/>
      <c r="BV58" s="162"/>
      <c r="BW58" s="125"/>
      <c r="BX58" s="125"/>
      <c r="BY58" s="125"/>
      <c r="BZ58" s="125"/>
      <c r="CA58" s="125"/>
      <c r="CB58" s="36"/>
      <c r="CC58" s="162"/>
      <c r="CD58" s="125"/>
      <c r="CE58" s="125"/>
      <c r="CF58" s="125"/>
      <c r="CG58" s="125"/>
      <c r="CH58" s="125"/>
      <c r="CI58" s="36"/>
      <c r="CJ58" s="162"/>
      <c r="CK58" s="125"/>
      <c r="CL58" s="125"/>
      <c r="CM58" s="125"/>
      <c r="CN58" s="125"/>
      <c r="CO58" s="125"/>
    </row>
    <row r="59" spans="1:105" x14ac:dyDescent="0.45">
      <c r="A59" s="230"/>
      <c r="B59" s="86" t="s">
        <v>173</v>
      </c>
      <c r="C59" s="86"/>
      <c r="D59" s="86"/>
      <c r="E59" s="86"/>
      <c r="F59" s="86"/>
      <c r="G59" s="36"/>
      <c r="H59" s="87"/>
      <c r="I59" s="86"/>
      <c r="J59" s="36"/>
      <c r="K59" s="162" t="str">
        <f>IF(SUM(J54,Q54,X54,AE54,AL54,AS54,AZ54,BG54,BN54,BU54,CB54,CI54)=0,"",MIN(K55:CJ55))</f>
        <v/>
      </c>
      <c r="L59" s="125"/>
      <c r="M59" s="125"/>
      <c r="N59" s="125"/>
      <c r="O59" s="125"/>
      <c r="P59" s="125"/>
      <c r="Q59" s="36"/>
      <c r="R59" s="162"/>
      <c r="S59" s="125"/>
      <c r="T59" s="125"/>
      <c r="U59" s="125"/>
      <c r="V59" s="125"/>
      <c r="W59" s="125"/>
      <c r="X59" s="36"/>
      <c r="Y59" s="162"/>
      <c r="Z59" s="125"/>
      <c r="AA59" s="125"/>
      <c r="AB59" s="125"/>
      <c r="AC59" s="125"/>
      <c r="AD59" s="125"/>
      <c r="AE59" s="36"/>
      <c r="AF59" s="162"/>
      <c r="AG59" s="125"/>
      <c r="AH59" s="125"/>
      <c r="AI59" s="125"/>
      <c r="AJ59" s="125"/>
      <c r="AK59" s="125"/>
      <c r="AL59" s="36"/>
      <c r="AM59" s="162"/>
      <c r="AN59" s="125"/>
      <c r="AO59" s="125"/>
      <c r="AP59" s="125"/>
      <c r="AQ59" s="125"/>
      <c r="AR59" s="125"/>
      <c r="AS59" s="36"/>
      <c r="AT59" s="162"/>
      <c r="AU59" s="125"/>
      <c r="AV59" s="125"/>
      <c r="AW59" s="125"/>
      <c r="AX59" s="125"/>
      <c r="AY59" s="125"/>
      <c r="AZ59" s="36"/>
      <c r="BA59" s="162"/>
      <c r="BB59" s="125"/>
      <c r="BC59" s="125"/>
      <c r="BD59" s="125"/>
      <c r="BE59" s="125"/>
      <c r="BF59" s="125"/>
      <c r="BG59" s="36"/>
      <c r="BH59" s="162"/>
      <c r="BI59" s="125"/>
      <c r="BJ59" s="125"/>
      <c r="BK59" s="125"/>
      <c r="BL59" s="125"/>
      <c r="BM59" s="125"/>
      <c r="BN59" s="36"/>
      <c r="BO59" s="162"/>
      <c r="BP59" s="125"/>
      <c r="BQ59" s="125"/>
      <c r="BR59" s="125"/>
      <c r="BS59" s="125"/>
      <c r="BT59" s="125"/>
      <c r="BU59" s="36"/>
      <c r="BV59" s="162"/>
      <c r="BW59" s="125"/>
      <c r="BX59" s="125"/>
      <c r="BY59" s="125"/>
      <c r="BZ59" s="125"/>
      <c r="CA59" s="125"/>
      <c r="CB59" s="36"/>
      <c r="CC59" s="162"/>
      <c r="CD59" s="125"/>
      <c r="CE59" s="125"/>
      <c r="CF59" s="125"/>
      <c r="CG59" s="125"/>
      <c r="CH59" s="125"/>
      <c r="CI59" s="36"/>
      <c r="CJ59" s="162"/>
      <c r="CK59" s="125"/>
      <c r="CL59" s="125"/>
      <c r="CM59" s="125"/>
      <c r="CN59" s="125"/>
      <c r="CO59" s="125"/>
    </row>
    <row r="60" spans="1:105" x14ac:dyDescent="0.45">
      <c r="A60" s="230"/>
      <c r="B60" s="86" t="s">
        <v>115</v>
      </c>
      <c r="C60" s="86"/>
      <c r="D60" s="86"/>
      <c r="E60" s="86"/>
      <c r="F60" s="86"/>
      <c r="G60" s="36"/>
      <c r="H60" s="87"/>
      <c r="I60" s="86"/>
      <c r="J60" s="36"/>
      <c r="K60" s="162" t="str">
        <f>IF(OR(SUM(J54,Q54,X54,AE54,AL54,AS54,AZ54,BG54,BN54,BU54,CB54,CI54)=0,K59="",K58=""),"",K58-K59)</f>
        <v/>
      </c>
      <c r="L60" s="125"/>
      <c r="M60" s="125"/>
      <c r="N60" s="125"/>
      <c r="O60" s="125"/>
      <c r="P60" s="125"/>
      <c r="Q60" s="36"/>
      <c r="R60" s="162"/>
      <c r="S60" s="125"/>
      <c r="T60" s="125"/>
      <c r="U60" s="125"/>
      <c r="V60" s="125"/>
      <c r="W60" s="125"/>
      <c r="X60" s="36"/>
      <c r="Y60" s="162"/>
      <c r="Z60" s="125"/>
      <c r="AA60" s="125"/>
      <c r="AB60" s="125"/>
      <c r="AC60" s="125"/>
      <c r="AD60" s="125"/>
      <c r="AE60" s="36"/>
      <c r="AF60" s="162"/>
      <c r="AG60" s="125"/>
      <c r="AH60" s="125"/>
      <c r="AI60" s="125"/>
      <c r="AJ60" s="125"/>
      <c r="AK60" s="125"/>
      <c r="AL60" s="36"/>
      <c r="AM60" s="162"/>
      <c r="AN60" s="125"/>
      <c r="AO60" s="125"/>
      <c r="AP60" s="125"/>
      <c r="AQ60" s="125"/>
      <c r="AR60" s="125"/>
      <c r="AS60" s="36"/>
      <c r="AT60" s="162"/>
      <c r="AU60" s="125"/>
      <c r="AV60" s="125"/>
      <c r="AW60" s="125"/>
      <c r="AX60" s="125"/>
      <c r="AY60" s="125"/>
      <c r="AZ60" s="36"/>
      <c r="BA60" s="162"/>
      <c r="BB60" s="125"/>
      <c r="BC60" s="125"/>
      <c r="BD60" s="125"/>
      <c r="BE60" s="125"/>
      <c r="BF60" s="125"/>
      <c r="BG60" s="36"/>
      <c r="BH60" s="162"/>
      <c r="BI60" s="125"/>
      <c r="BJ60" s="125"/>
      <c r="BK60" s="125"/>
      <c r="BL60" s="125"/>
      <c r="BM60" s="125"/>
      <c r="BN60" s="36"/>
      <c r="BO60" s="162"/>
      <c r="BP60" s="125"/>
      <c r="BQ60" s="125"/>
      <c r="BR60" s="125"/>
      <c r="BS60" s="125"/>
      <c r="BT60" s="125"/>
      <c r="BU60" s="36"/>
      <c r="BV60" s="162"/>
      <c r="BW60" s="125"/>
      <c r="BX60" s="125"/>
      <c r="BY60" s="125"/>
      <c r="BZ60" s="125"/>
      <c r="CA60" s="125"/>
      <c r="CB60" s="36"/>
      <c r="CC60" s="162"/>
      <c r="CD60" s="125"/>
      <c r="CE60" s="125"/>
      <c r="CF60" s="125"/>
      <c r="CG60" s="125"/>
      <c r="CH60" s="125"/>
      <c r="CI60" s="36"/>
      <c r="CJ60" s="162"/>
      <c r="CK60" s="125"/>
      <c r="CL60" s="125"/>
      <c r="CM60" s="125"/>
      <c r="CN60" s="125"/>
      <c r="CO60" s="125"/>
    </row>
    <row r="61" spans="1:105" x14ac:dyDescent="0.45">
      <c r="J61" s="163"/>
      <c r="K61" s="164"/>
      <c r="L61" s="125"/>
      <c r="M61" s="125"/>
      <c r="N61" s="125"/>
      <c r="O61" s="125"/>
      <c r="P61" s="125"/>
      <c r="Q61" s="163"/>
      <c r="R61" s="164"/>
      <c r="S61" s="125"/>
      <c r="T61" s="125"/>
      <c r="U61" s="125"/>
      <c r="V61" s="125"/>
      <c r="W61" s="125"/>
      <c r="X61" s="163"/>
      <c r="Y61" s="164"/>
      <c r="Z61" s="125"/>
      <c r="AA61" s="125"/>
      <c r="AB61" s="125"/>
      <c r="AC61" s="125"/>
      <c r="AD61" s="125"/>
      <c r="AE61" s="163"/>
      <c r="AF61" s="164"/>
      <c r="AG61" s="125"/>
      <c r="AH61" s="125"/>
      <c r="AI61" s="125"/>
      <c r="AJ61" s="125"/>
      <c r="AK61" s="125"/>
      <c r="AL61" s="163"/>
      <c r="AM61" s="164"/>
      <c r="AN61" s="125"/>
      <c r="AO61" s="125"/>
      <c r="AP61" s="125"/>
      <c r="AQ61" s="125"/>
      <c r="AR61" s="125"/>
      <c r="AS61" s="163"/>
      <c r="AT61" s="164"/>
      <c r="AU61" s="125"/>
      <c r="AV61" s="125"/>
      <c r="AW61" s="125"/>
      <c r="AX61" s="125"/>
      <c r="AY61" s="125"/>
      <c r="AZ61" s="163"/>
      <c r="BA61" s="164"/>
      <c r="BB61" s="125"/>
      <c r="BC61" s="125"/>
      <c r="BD61" s="125"/>
      <c r="BE61" s="125"/>
      <c r="BF61" s="125"/>
      <c r="BG61" s="163"/>
      <c r="BH61" s="164"/>
      <c r="BI61" s="125"/>
      <c r="BJ61" s="125"/>
      <c r="BK61" s="125"/>
      <c r="BL61" s="125"/>
      <c r="BM61" s="125"/>
      <c r="BN61" s="163"/>
      <c r="BO61" s="164"/>
      <c r="BP61" s="125"/>
      <c r="BQ61" s="125"/>
      <c r="BR61" s="125"/>
      <c r="BS61" s="125"/>
      <c r="BT61" s="125"/>
      <c r="BU61" s="163"/>
      <c r="BV61" s="164"/>
      <c r="BW61" s="125"/>
      <c r="BX61" s="125"/>
      <c r="BY61" s="125"/>
      <c r="BZ61" s="125"/>
      <c r="CA61" s="125"/>
      <c r="CB61" s="163"/>
      <c r="CC61" s="164"/>
      <c r="CD61" s="125"/>
      <c r="CE61" s="125"/>
      <c r="CF61" s="125"/>
      <c r="CG61" s="125"/>
      <c r="CH61" s="125"/>
      <c r="CI61" s="163"/>
      <c r="CJ61" s="164"/>
      <c r="CK61" s="125"/>
      <c r="CL61" s="125"/>
      <c r="CM61" s="125"/>
      <c r="CN61" s="125"/>
      <c r="CO61" s="125"/>
    </row>
    <row r="62" spans="1:105" x14ac:dyDescent="0.45">
      <c r="B62" s="32" t="s">
        <v>179</v>
      </c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5"/>
      <c r="AV62" s="125"/>
      <c r="AW62" s="125"/>
      <c r="AX62" s="125"/>
      <c r="AY62" s="125"/>
      <c r="AZ62" s="125"/>
      <c r="BA62" s="125"/>
      <c r="BB62" s="125"/>
      <c r="BC62" s="125"/>
      <c r="BD62" s="125"/>
      <c r="BE62" s="125"/>
      <c r="BF62" s="125"/>
      <c r="BG62" s="125"/>
      <c r="BH62" s="125"/>
      <c r="BI62" s="125"/>
      <c r="BJ62" s="125"/>
      <c r="BK62" s="125"/>
      <c r="BL62" s="125"/>
      <c r="BM62" s="125"/>
      <c r="BN62" s="125"/>
      <c r="BO62" s="125"/>
      <c r="BP62" s="125"/>
      <c r="BQ62" s="125"/>
      <c r="BR62" s="125"/>
      <c r="BS62" s="125"/>
      <c r="BT62" s="125"/>
      <c r="BU62" s="125"/>
      <c r="BV62" s="125"/>
      <c r="BW62" s="125"/>
      <c r="BX62" s="125"/>
      <c r="BY62" s="125"/>
      <c r="BZ62" s="125"/>
      <c r="CA62" s="125"/>
      <c r="CB62" s="125"/>
      <c r="CC62" s="125"/>
      <c r="CD62" s="125"/>
      <c r="CE62" s="125"/>
      <c r="CF62" s="125"/>
      <c r="CG62" s="125"/>
      <c r="CH62" s="125"/>
      <c r="CI62" s="125"/>
      <c r="CJ62" s="125"/>
      <c r="CK62" s="125"/>
      <c r="CL62" s="125"/>
      <c r="CM62" s="125"/>
      <c r="CN62" s="125"/>
      <c r="CO62" s="125"/>
    </row>
    <row r="63" spans="1:105" ht="14.65" thickBot="1" x14ac:dyDescent="0.5"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5"/>
      <c r="AV63" s="125"/>
      <c r="AW63" s="125"/>
      <c r="AX63" s="125"/>
      <c r="AY63" s="125"/>
      <c r="AZ63" s="125"/>
      <c r="BA63" s="125"/>
      <c r="BB63" s="125"/>
      <c r="BC63" s="125"/>
      <c r="BD63" s="125"/>
      <c r="BE63" s="125"/>
      <c r="BF63" s="125"/>
      <c r="BG63" s="125"/>
      <c r="BH63" s="125"/>
      <c r="BI63" s="125"/>
      <c r="BJ63" s="125"/>
      <c r="BK63" s="125"/>
      <c r="BL63" s="125"/>
      <c r="BM63" s="125"/>
      <c r="BN63" s="125"/>
      <c r="BO63" s="125"/>
      <c r="BP63" s="125"/>
      <c r="BQ63" s="125"/>
      <c r="BR63" s="125"/>
      <c r="BS63" s="125"/>
      <c r="BT63" s="125"/>
      <c r="BU63" s="125"/>
      <c r="BV63" s="125"/>
      <c r="BW63" s="125"/>
      <c r="BX63" s="125"/>
      <c r="BY63" s="125"/>
      <c r="BZ63" s="125"/>
      <c r="CA63" s="125"/>
      <c r="CB63" s="125"/>
      <c r="CC63" s="125"/>
      <c r="CD63" s="125"/>
      <c r="CE63" s="125"/>
      <c r="CF63" s="125"/>
      <c r="CG63" s="125"/>
      <c r="CH63" s="125"/>
      <c r="CI63" s="125"/>
      <c r="CJ63" s="125"/>
      <c r="CK63" s="125"/>
      <c r="CL63" s="125"/>
      <c r="CM63" s="125"/>
      <c r="CN63" s="125"/>
      <c r="CO63" s="125"/>
    </row>
    <row r="64" spans="1:105" ht="45.4" customHeight="1" x14ac:dyDescent="0.45">
      <c r="J64" s="270" t="s">
        <v>180</v>
      </c>
      <c r="K64" s="255"/>
      <c r="L64" s="254" t="s">
        <v>181</v>
      </c>
      <c r="M64" s="255"/>
      <c r="N64" s="114" t="s">
        <v>182</v>
      </c>
      <c r="O64" s="254" t="s">
        <v>183</v>
      </c>
      <c r="P64" s="255"/>
      <c r="Q64" s="270" t="s">
        <v>180</v>
      </c>
      <c r="R64" s="255"/>
      <c r="S64" s="254" t="s">
        <v>181</v>
      </c>
      <c r="T64" s="255"/>
      <c r="U64" s="114" t="s">
        <v>182</v>
      </c>
      <c r="V64" s="254" t="s">
        <v>183</v>
      </c>
      <c r="W64" s="255"/>
      <c r="X64" s="270" t="s">
        <v>180</v>
      </c>
      <c r="Y64" s="255"/>
      <c r="Z64" s="254" t="s">
        <v>181</v>
      </c>
      <c r="AA64" s="255"/>
      <c r="AB64" s="114" t="s">
        <v>182</v>
      </c>
      <c r="AC64" s="254" t="s">
        <v>183</v>
      </c>
      <c r="AD64" s="255"/>
      <c r="AE64" s="270" t="s">
        <v>180</v>
      </c>
      <c r="AF64" s="255"/>
      <c r="AG64" s="254" t="s">
        <v>181</v>
      </c>
      <c r="AH64" s="255"/>
      <c r="AI64" s="114" t="s">
        <v>182</v>
      </c>
      <c r="AJ64" s="254" t="s">
        <v>183</v>
      </c>
      <c r="AK64" s="255"/>
      <c r="AL64" s="270" t="s">
        <v>180</v>
      </c>
      <c r="AM64" s="255"/>
      <c r="AN64" s="254" t="s">
        <v>181</v>
      </c>
      <c r="AO64" s="255"/>
      <c r="AP64" s="114" t="s">
        <v>182</v>
      </c>
      <c r="AQ64" s="254" t="s">
        <v>183</v>
      </c>
      <c r="AR64" s="255"/>
      <c r="AS64" s="270" t="s">
        <v>180</v>
      </c>
      <c r="AT64" s="255"/>
      <c r="AU64" s="254" t="s">
        <v>181</v>
      </c>
      <c r="AV64" s="255"/>
      <c r="AW64" s="114" t="s">
        <v>182</v>
      </c>
      <c r="AX64" s="254" t="s">
        <v>183</v>
      </c>
      <c r="AY64" s="255"/>
      <c r="AZ64" s="270" t="s">
        <v>180</v>
      </c>
      <c r="BA64" s="255"/>
      <c r="BB64" s="254" t="s">
        <v>181</v>
      </c>
      <c r="BC64" s="255"/>
      <c r="BD64" s="114" t="s">
        <v>182</v>
      </c>
      <c r="BE64" s="254" t="s">
        <v>183</v>
      </c>
      <c r="BF64" s="255"/>
      <c r="BG64" s="270" t="s">
        <v>180</v>
      </c>
      <c r="BH64" s="255"/>
      <c r="BI64" s="254" t="s">
        <v>181</v>
      </c>
      <c r="BJ64" s="255"/>
      <c r="BK64" s="114" t="s">
        <v>182</v>
      </c>
      <c r="BL64" s="254" t="s">
        <v>183</v>
      </c>
      <c r="BM64" s="255"/>
      <c r="BN64" s="270" t="s">
        <v>180</v>
      </c>
      <c r="BO64" s="255"/>
      <c r="BP64" s="254" t="s">
        <v>181</v>
      </c>
      <c r="BQ64" s="255"/>
      <c r="BR64" s="114" t="s">
        <v>182</v>
      </c>
      <c r="BS64" s="254" t="s">
        <v>183</v>
      </c>
      <c r="BT64" s="255"/>
      <c r="BU64" s="270" t="s">
        <v>180</v>
      </c>
      <c r="BV64" s="255"/>
      <c r="BW64" s="254" t="s">
        <v>181</v>
      </c>
      <c r="BX64" s="255"/>
      <c r="BY64" s="114" t="s">
        <v>182</v>
      </c>
      <c r="BZ64" s="254" t="s">
        <v>183</v>
      </c>
      <c r="CA64" s="255"/>
      <c r="CB64" s="270" t="s">
        <v>180</v>
      </c>
      <c r="CC64" s="255"/>
      <c r="CD64" s="254" t="s">
        <v>181</v>
      </c>
      <c r="CE64" s="255"/>
      <c r="CF64" s="114" t="s">
        <v>182</v>
      </c>
      <c r="CG64" s="254" t="s">
        <v>183</v>
      </c>
      <c r="CH64" s="255"/>
      <c r="CI64" s="270" t="s">
        <v>180</v>
      </c>
      <c r="CJ64" s="255"/>
      <c r="CK64" s="254" t="s">
        <v>181</v>
      </c>
      <c r="CL64" s="255"/>
      <c r="CM64" s="114" t="s">
        <v>182</v>
      </c>
      <c r="CN64" s="254" t="s">
        <v>183</v>
      </c>
      <c r="CO64" s="255"/>
    </row>
    <row r="65" spans="2:93" x14ac:dyDescent="0.45">
      <c r="J65" s="240"/>
      <c r="K65" s="235"/>
      <c r="L65" s="233"/>
      <c r="M65" s="235"/>
      <c r="N65" s="165"/>
      <c r="O65" s="236"/>
      <c r="P65" s="235"/>
      <c r="Q65" s="240"/>
      <c r="R65" s="235"/>
      <c r="S65" s="233"/>
      <c r="T65" s="235"/>
      <c r="U65" s="165"/>
      <c r="V65" s="236"/>
      <c r="W65" s="235"/>
      <c r="X65" s="240"/>
      <c r="Y65" s="235"/>
      <c r="Z65" s="233"/>
      <c r="AA65" s="235"/>
      <c r="AB65" s="165"/>
      <c r="AC65" s="236"/>
      <c r="AD65" s="235"/>
      <c r="AE65" s="240"/>
      <c r="AF65" s="235"/>
      <c r="AG65" s="233"/>
      <c r="AH65" s="235"/>
      <c r="AI65" s="165"/>
      <c r="AJ65" s="236"/>
      <c r="AK65" s="235"/>
      <c r="AL65" s="240"/>
      <c r="AM65" s="235"/>
      <c r="AN65" s="233"/>
      <c r="AO65" s="235"/>
      <c r="AP65" s="165"/>
      <c r="AQ65" s="236"/>
      <c r="AR65" s="235"/>
      <c r="AS65" s="240"/>
      <c r="AT65" s="235"/>
      <c r="AU65" s="233"/>
      <c r="AV65" s="235"/>
      <c r="AW65" s="165"/>
      <c r="AX65" s="236"/>
      <c r="AY65" s="235"/>
      <c r="AZ65" s="240"/>
      <c r="BA65" s="235"/>
      <c r="BB65" s="233"/>
      <c r="BC65" s="235"/>
      <c r="BD65" s="165"/>
      <c r="BE65" s="236"/>
      <c r="BF65" s="235"/>
      <c r="BG65" s="240"/>
      <c r="BH65" s="235"/>
      <c r="BI65" s="233"/>
      <c r="BJ65" s="235"/>
      <c r="BK65" s="165"/>
      <c r="BL65" s="236"/>
      <c r="BM65" s="235"/>
      <c r="BN65" s="240"/>
      <c r="BO65" s="235"/>
      <c r="BP65" s="233"/>
      <c r="BQ65" s="235"/>
      <c r="BR65" s="165"/>
      <c r="BS65" s="236"/>
      <c r="BT65" s="235"/>
      <c r="BU65" s="240"/>
      <c r="BV65" s="235"/>
      <c r="BW65" s="233"/>
      <c r="BX65" s="235"/>
      <c r="BY65" s="165"/>
      <c r="BZ65" s="236"/>
      <c r="CA65" s="235"/>
      <c r="CB65" s="240"/>
      <c r="CC65" s="235"/>
      <c r="CD65" s="233"/>
      <c r="CE65" s="235"/>
      <c r="CF65" s="165"/>
      <c r="CG65" s="236"/>
      <c r="CH65" s="235"/>
      <c r="CI65" s="240"/>
      <c r="CJ65" s="235"/>
      <c r="CK65" s="233"/>
      <c r="CL65" s="235"/>
      <c r="CM65" s="165"/>
      <c r="CN65" s="236"/>
      <c r="CO65" s="235"/>
    </row>
    <row r="66" spans="2:93" ht="14.65" customHeight="1" x14ac:dyDescent="0.45">
      <c r="J66" s="240"/>
      <c r="K66" s="235"/>
      <c r="L66" s="233"/>
      <c r="M66" s="235"/>
      <c r="N66" s="165"/>
      <c r="O66" s="236"/>
      <c r="P66" s="235"/>
      <c r="Q66" s="240"/>
      <c r="R66" s="235"/>
      <c r="S66" s="233"/>
      <c r="T66" s="235"/>
      <c r="U66" s="165"/>
      <c r="V66" s="236"/>
      <c r="W66" s="235"/>
      <c r="X66" s="240"/>
      <c r="Y66" s="235"/>
      <c r="Z66" s="233"/>
      <c r="AA66" s="235"/>
      <c r="AB66" s="165"/>
      <c r="AC66" s="236"/>
      <c r="AD66" s="235"/>
      <c r="AE66" s="240"/>
      <c r="AF66" s="235"/>
      <c r="AG66" s="233"/>
      <c r="AH66" s="235"/>
      <c r="AI66" s="165"/>
      <c r="AJ66" s="236"/>
      <c r="AK66" s="235"/>
      <c r="AL66" s="240"/>
      <c r="AM66" s="235"/>
      <c r="AN66" s="233"/>
      <c r="AO66" s="235"/>
      <c r="AP66" s="165"/>
      <c r="AQ66" s="236"/>
      <c r="AR66" s="235"/>
      <c r="AS66" s="240"/>
      <c r="AT66" s="235"/>
      <c r="AU66" s="233"/>
      <c r="AV66" s="235"/>
      <c r="AW66" s="165"/>
      <c r="AX66" s="236"/>
      <c r="AY66" s="235"/>
      <c r="AZ66" s="240"/>
      <c r="BA66" s="235"/>
      <c r="BB66" s="233"/>
      <c r="BC66" s="235"/>
      <c r="BD66" s="165"/>
      <c r="BE66" s="236"/>
      <c r="BF66" s="235"/>
      <c r="BG66" s="240"/>
      <c r="BH66" s="235"/>
      <c r="BI66" s="233"/>
      <c r="BJ66" s="235"/>
      <c r="BK66" s="165"/>
      <c r="BL66" s="236"/>
      <c r="BM66" s="235"/>
      <c r="BN66" s="240"/>
      <c r="BO66" s="235"/>
      <c r="BP66" s="233"/>
      <c r="BQ66" s="235"/>
      <c r="BR66" s="165"/>
      <c r="BS66" s="236"/>
      <c r="BT66" s="235"/>
      <c r="BU66" s="240"/>
      <c r="BV66" s="235"/>
      <c r="BW66" s="233"/>
      <c r="BX66" s="235"/>
      <c r="BY66" s="165"/>
      <c r="BZ66" s="236"/>
      <c r="CA66" s="235"/>
      <c r="CB66" s="240"/>
      <c r="CC66" s="235"/>
      <c r="CD66" s="233"/>
      <c r="CE66" s="235"/>
      <c r="CF66" s="165"/>
      <c r="CG66" s="236"/>
      <c r="CH66" s="235"/>
      <c r="CI66" s="240"/>
      <c r="CJ66" s="235"/>
      <c r="CK66" s="233"/>
      <c r="CL66" s="235"/>
      <c r="CM66" s="165"/>
      <c r="CN66" s="236"/>
      <c r="CO66" s="235"/>
    </row>
    <row r="67" spans="2:93" ht="14.65" customHeight="1" x14ac:dyDescent="0.45">
      <c r="J67" s="240"/>
      <c r="K67" s="235"/>
      <c r="L67" s="233"/>
      <c r="M67" s="235"/>
      <c r="N67" s="165"/>
      <c r="O67" s="236"/>
      <c r="P67" s="235"/>
      <c r="Q67" s="240"/>
      <c r="R67" s="235"/>
      <c r="S67" s="233"/>
      <c r="T67" s="235"/>
      <c r="U67" s="165"/>
      <c r="V67" s="236"/>
      <c r="W67" s="235"/>
      <c r="X67" s="240"/>
      <c r="Y67" s="235"/>
      <c r="Z67" s="233"/>
      <c r="AA67" s="235"/>
      <c r="AB67" s="165"/>
      <c r="AC67" s="236"/>
      <c r="AD67" s="235"/>
      <c r="AE67" s="240"/>
      <c r="AF67" s="235"/>
      <c r="AG67" s="233"/>
      <c r="AH67" s="235"/>
      <c r="AI67" s="165"/>
      <c r="AJ67" s="236"/>
      <c r="AK67" s="235"/>
      <c r="AL67" s="240"/>
      <c r="AM67" s="235"/>
      <c r="AN67" s="233"/>
      <c r="AO67" s="235"/>
      <c r="AP67" s="165"/>
      <c r="AQ67" s="236"/>
      <c r="AR67" s="235"/>
      <c r="AS67" s="240"/>
      <c r="AT67" s="235"/>
      <c r="AU67" s="233"/>
      <c r="AV67" s="235"/>
      <c r="AW67" s="165"/>
      <c r="AX67" s="236"/>
      <c r="AY67" s="235"/>
      <c r="AZ67" s="240"/>
      <c r="BA67" s="235"/>
      <c r="BB67" s="233"/>
      <c r="BC67" s="235"/>
      <c r="BD67" s="165"/>
      <c r="BE67" s="236"/>
      <c r="BF67" s="235"/>
      <c r="BG67" s="240"/>
      <c r="BH67" s="235"/>
      <c r="BI67" s="233"/>
      <c r="BJ67" s="235"/>
      <c r="BK67" s="165"/>
      <c r="BL67" s="236"/>
      <c r="BM67" s="235"/>
      <c r="BN67" s="240"/>
      <c r="BO67" s="235"/>
      <c r="BP67" s="233"/>
      <c r="BQ67" s="235"/>
      <c r="BR67" s="165"/>
      <c r="BS67" s="236"/>
      <c r="BT67" s="235"/>
      <c r="BU67" s="240"/>
      <c r="BV67" s="235"/>
      <c r="BW67" s="233"/>
      <c r="BX67" s="235"/>
      <c r="BY67" s="165"/>
      <c r="BZ67" s="236"/>
      <c r="CA67" s="235"/>
      <c r="CB67" s="240"/>
      <c r="CC67" s="235"/>
      <c r="CD67" s="233"/>
      <c r="CE67" s="235"/>
      <c r="CF67" s="165"/>
      <c r="CG67" s="236"/>
      <c r="CH67" s="235"/>
      <c r="CI67" s="240"/>
      <c r="CJ67" s="235"/>
      <c r="CK67" s="233"/>
      <c r="CL67" s="235"/>
      <c r="CM67" s="165"/>
      <c r="CN67" s="236"/>
      <c r="CO67" s="235"/>
    </row>
    <row r="68" spans="2:93" ht="14.65" customHeight="1" x14ac:dyDescent="0.45">
      <c r="J68" s="240"/>
      <c r="K68" s="235"/>
      <c r="L68" s="233"/>
      <c r="M68" s="235"/>
      <c r="N68" s="165"/>
      <c r="O68" s="236"/>
      <c r="P68" s="235"/>
      <c r="Q68" s="240"/>
      <c r="R68" s="235"/>
      <c r="S68" s="233"/>
      <c r="T68" s="235"/>
      <c r="U68" s="165"/>
      <c r="V68" s="236"/>
      <c r="W68" s="235"/>
      <c r="X68" s="240"/>
      <c r="Y68" s="235"/>
      <c r="Z68" s="233"/>
      <c r="AA68" s="235"/>
      <c r="AB68" s="165"/>
      <c r="AC68" s="236"/>
      <c r="AD68" s="235"/>
      <c r="AE68" s="240"/>
      <c r="AF68" s="235"/>
      <c r="AG68" s="233"/>
      <c r="AH68" s="235"/>
      <c r="AI68" s="165"/>
      <c r="AJ68" s="236"/>
      <c r="AK68" s="235"/>
      <c r="AL68" s="240"/>
      <c r="AM68" s="235"/>
      <c r="AN68" s="233"/>
      <c r="AO68" s="235"/>
      <c r="AP68" s="165"/>
      <c r="AQ68" s="236"/>
      <c r="AR68" s="235"/>
      <c r="AS68" s="240"/>
      <c r="AT68" s="235"/>
      <c r="AU68" s="233"/>
      <c r="AV68" s="235"/>
      <c r="AW68" s="165"/>
      <c r="AX68" s="236"/>
      <c r="AY68" s="235"/>
      <c r="AZ68" s="240"/>
      <c r="BA68" s="235"/>
      <c r="BB68" s="233"/>
      <c r="BC68" s="235"/>
      <c r="BD68" s="165"/>
      <c r="BE68" s="236"/>
      <c r="BF68" s="235"/>
      <c r="BG68" s="240"/>
      <c r="BH68" s="235"/>
      <c r="BI68" s="233"/>
      <c r="BJ68" s="235"/>
      <c r="BK68" s="165"/>
      <c r="BL68" s="236"/>
      <c r="BM68" s="235"/>
      <c r="BN68" s="240"/>
      <c r="BO68" s="235"/>
      <c r="BP68" s="233"/>
      <c r="BQ68" s="235"/>
      <c r="BR68" s="165"/>
      <c r="BS68" s="236"/>
      <c r="BT68" s="235"/>
      <c r="BU68" s="240"/>
      <c r="BV68" s="235"/>
      <c r="BW68" s="233"/>
      <c r="BX68" s="235"/>
      <c r="BY68" s="165"/>
      <c r="BZ68" s="236"/>
      <c r="CA68" s="235"/>
      <c r="CB68" s="240"/>
      <c r="CC68" s="235"/>
      <c r="CD68" s="233"/>
      <c r="CE68" s="235"/>
      <c r="CF68" s="165"/>
      <c r="CG68" s="236"/>
      <c r="CH68" s="235"/>
      <c r="CI68" s="240"/>
      <c r="CJ68" s="235"/>
      <c r="CK68" s="233"/>
      <c r="CL68" s="235"/>
      <c r="CM68" s="165"/>
      <c r="CN68" s="236"/>
      <c r="CO68" s="235"/>
    </row>
    <row r="69" spans="2:93" ht="14.65" customHeight="1" x14ac:dyDescent="0.45">
      <c r="J69" s="240"/>
      <c r="K69" s="235"/>
      <c r="L69" s="233"/>
      <c r="M69" s="235"/>
      <c r="N69" s="165"/>
      <c r="O69" s="236"/>
      <c r="P69" s="235"/>
      <c r="Q69" s="240"/>
      <c r="R69" s="235"/>
      <c r="S69" s="233"/>
      <c r="T69" s="235"/>
      <c r="U69" s="165"/>
      <c r="V69" s="236"/>
      <c r="W69" s="235"/>
      <c r="X69" s="240"/>
      <c r="Y69" s="235"/>
      <c r="Z69" s="233"/>
      <c r="AA69" s="235"/>
      <c r="AB69" s="165"/>
      <c r="AC69" s="236"/>
      <c r="AD69" s="235"/>
      <c r="AE69" s="240"/>
      <c r="AF69" s="235"/>
      <c r="AG69" s="233"/>
      <c r="AH69" s="235"/>
      <c r="AI69" s="165"/>
      <c r="AJ69" s="236"/>
      <c r="AK69" s="235"/>
      <c r="AL69" s="240"/>
      <c r="AM69" s="235"/>
      <c r="AN69" s="233"/>
      <c r="AO69" s="235"/>
      <c r="AP69" s="165"/>
      <c r="AQ69" s="236"/>
      <c r="AR69" s="235"/>
      <c r="AS69" s="240"/>
      <c r="AT69" s="235"/>
      <c r="AU69" s="233"/>
      <c r="AV69" s="235"/>
      <c r="AW69" s="165"/>
      <c r="AX69" s="236"/>
      <c r="AY69" s="235"/>
      <c r="AZ69" s="240"/>
      <c r="BA69" s="235"/>
      <c r="BB69" s="233"/>
      <c r="BC69" s="235"/>
      <c r="BD69" s="165"/>
      <c r="BE69" s="236"/>
      <c r="BF69" s="235"/>
      <c r="BG69" s="240"/>
      <c r="BH69" s="235"/>
      <c r="BI69" s="233"/>
      <c r="BJ69" s="235"/>
      <c r="BK69" s="165"/>
      <c r="BL69" s="236"/>
      <c r="BM69" s="235"/>
      <c r="BN69" s="240"/>
      <c r="BO69" s="235"/>
      <c r="BP69" s="233"/>
      <c r="BQ69" s="235"/>
      <c r="BR69" s="165"/>
      <c r="BS69" s="236"/>
      <c r="BT69" s="235"/>
      <c r="BU69" s="240"/>
      <c r="BV69" s="235"/>
      <c r="BW69" s="233"/>
      <c r="BX69" s="235"/>
      <c r="BY69" s="165"/>
      <c r="BZ69" s="236"/>
      <c r="CA69" s="235"/>
      <c r="CB69" s="240"/>
      <c r="CC69" s="235"/>
      <c r="CD69" s="233"/>
      <c r="CE69" s="235"/>
      <c r="CF69" s="165"/>
      <c r="CG69" s="236"/>
      <c r="CH69" s="235"/>
      <c r="CI69" s="240"/>
      <c r="CJ69" s="235"/>
      <c r="CK69" s="233"/>
      <c r="CL69" s="235"/>
      <c r="CM69" s="165"/>
      <c r="CN69" s="236"/>
      <c r="CO69" s="235"/>
    </row>
    <row r="70" spans="2:93" x14ac:dyDescent="0.45">
      <c r="J70" s="240"/>
      <c r="K70" s="235"/>
      <c r="L70" s="233"/>
      <c r="M70" s="235"/>
      <c r="N70" s="165"/>
      <c r="O70" s="236"/>
      <c r="P70" s="235"/>
      <c r="Q70" s="240"/>
      <c r="R70" s="235"/>
      <c r="S70" s="233"/>
      <c r="T70" s="235"/>
      <c r="U70" s="165"/>
      <c r="V70" s="236"/>
      <c r="W70" s="235"/>
      <c r="X70" s="240"/>
      <c r="Y70" s="235"/>
      <c r="Z70" s="233"/>
      <c r="AA70" s="235"/>
      <c r="AB70" s="165"/>
      <c r="AC70" s="236"/>
      <c r="AD70" s="235"/>
      <c r="AE70" s="240"/>
      <c r="AF70" s="235"/>
      <c r="AG70" s="233"/>
      <c r="AH70" s="235"/>
      <c r="AI70" s="165"/>
      <c r="AJ70" s="236"/>
      <c r="AK70" s="235"/>
      <c r="AL70" s="240"/>
      <c r="AM70" s="235"/>
      <c r="AN70" s="233"/>
      <c r="AO70" s="235"/>
      <c r="AP70" s="165"/>
      <c r="AQ70" s="236"/>
      <c r="AR70" s="235"/>
      <c r="AS70" s="240"/>
      <c r="AT70" s="235"/>
      <c r="AU70" s="233"/>
      <c r="AV70" s="235"/>
      <c r="AW70" s="165"/>
      <c r="AX70" s="236"/>
      <c r="AY70" s="235"/>
      <c r="AZ70" s="240"/>
      <c r="BA70" s="235"/>
      <c r="BB70" s="233"/>
      <c r="BC70" s="235"/>
      <c r="BD70" s="165"/>
      <c r="BE70" s="236"/>
      <c r="BF70" s="235"/>
      <c r="BG70" s="240"/>
      <c r="BH70" s="235"/>
      <c r="BI70" s="233"/>
      <c r="BJ70" s="235"/>
      <c r="BK70" s="165"/>
      <c r="BL70" s="236"/>
      <c r="BM70" s="235"/>
      <c r="BN70" s="240"/>
      <c r="BO70" s="235"/>
      <c r="BP70" s="233"/>
      <c r="BQ70" s="235"/>
      <c r="BR70" s="165"/>
      <c r="BS70" s="236"/>
      <c r="BT70" s="235"/>
      <c r="BU70" s="240"/>
      <c r="BV70" s="235"/>
      <c r="BW70" s="233"/>
      <c r="BX70" s="235"/>
      <c r="BY70" s="165"/>
      <c r="BZ70" s="236"/>
      <c r="CA70" s="235"/>
      <c r="CB70" s="240"/>
      <c r="CC70" s="235"/>
      <c r="CD70" s="233"/>
      <c r="CE70" s="235"/>
      <c r="CF70" s="165"/>
      <c r="CG70" s="236"/>
      <c r="CH70" s="235"/>
      <c r="CI70" s="240"/>
      <c r="CJ70" s="235"/>
      <c r="CK70" s="233"/>
      <c r="CL70" s="235"/>
      <c r="CM70" s="165"/>
      <c r="CN70" s="236"/>
      <c r="CO70" s="235"/>
    </row>
    <row r="71" spans="2:93" ht="14.65" thickBot="1" x14ac:dyDescent="0.5">
      <c r="J71" s="271" t="s">
        <v>184</v>
      </c>
      <c r="K71" s="251"/>
      <c r="L71" s="268"/>
      <c r="M71" s="251"/>
      <c r="N71" s="63">
        <f>SUM(N65:N70)</f>
        <v>0</v>
      </c>
      <c r="O71" s="266"/>
      <c r="P71" s="251"/>
      <c r="Q71" s="271" t="s">
        <v>184</v>
      </c>
      <c r="R71" s="251"/>
      <c r="S71" s="268"/>
      <c r="T71" s="251"/>
      <c r="U71" s="63">
        <f>SUM(U65:U70)</f>
        <v>0</v>
      </c>
      <c r="V71" s="266"/>
      <c r="W71" s="251"/>
      <c r="X71" s="271" t="s">
        <v>184</v>
      </c>
      <c r="Y71" s="251"/>
      <c r="Z71" s="268"/>
      <c r="AA71" s="251"/>
      <c r="AB71" s="63">
        <f>SUM(AB65:AB70)</f>
        <v>0</v>
      </c>
      <c r="AC71" s="266"/>
      <c r="AD71" s="251"/>
      <c r="AE71" s="271" t="s">
        <v>184</v>
      </c>
      <c r="AF71" s="251"/>
      <c r="AG71" s="268"/>
      <c r="AH71" s="251"/>
      <c r="AI71" s="63">
        <f>SUM(AI65:AI70)</f>
        <v>0</v>
      </c>
      <c r="AJ71" s="266"/>
      <c r="AK71" s="251"/>
      <c r="AL71" s="271" t="s">
        <v>184</v>
      </c>
      <c r="AM71" s="251"/>
      <c r="AN71" s="268"/>
      <c r="AO71" s="251"/>
      <c r="AP71" s="63">
        <f>SUM(AP65:AP70)</f>
        <v>0</v>
      </c>
      <c r="AQ71" s="266"/>
      <c r="AR71" s="251"/>
      <c r="AS71" s="271" t="s">
        <v>184</v>
      </c>
      <c r="AT71" s="251"/>
      <c r="AU71" s="268"/>
      <c r="AV71" s="251"/>
      <c r="AW71" s="63">
        <f>SUM(AW65:AW70)</f>
        <v>0</v>
      </c>
      <c r="AX71" s="266"/>
      <c r="AY71" s="251"/>
      <c r="AZ71" s="271" t="s">
        <v>184</v>
      </c>
      <c r="BA71" s="251"/>
      <c r="BB71" s="268"/>
      <c r="BC71" s="251"/>
      <c r="BD71" s="63">
        <f>SUM(BD65:BD70)</f>
        <v>0</v>
      </c>
      <c r="BE71" s="266"/>
      <c r="BF71" s="251"/>
      <c r="BG71" s="271" t="s">
        <v>184</v>
      </c>
      <c r="BH71" s="251"/>
      <c r="BI71" s="268"/>
      <c r="BJ71" s="251"/>
      <c r="BK71" s="63">
        <f>SUM(BK65:BK70)</f>
        <v>0</v>
      </c>
      <c r="BL71" s="266"/>
      <c r="BM71" s="251"/>
      <c r="BN71" s="271" t="s">
        <v>184</v>
      </c>
      <c r="BO71" s="251"/>
      <c r="BP71" s="268"/>
      <c r="BQ71" s="251"/>
      <c r="BR71" s="63">
        <f>SUM(BR65:BR70)</f>
        <v>0</v>
      </c>
      <c r="BS71" s="266"/>
      <c r="BT71" s="251"/>
      <c r="BU71" s="271" t="s">
        <v>184</v>
      </c>
      <c r="BV71" s="251"/>
      <c r="BW71" s="268"/>
      <c r="BX71" s="251"/>
      <c r="BY71" s="63">
        <f>SUM(BY65:BY70)</f>
        <v>0</v>
      </c>
      <c r="BZ71" s="266"/>
      <c r="CA71" s="251"/>
      <c r="CB71" s="271" t="s">
        <v>184</v>
      </c>
      <c r="CC71" s="251"/>
      <c r="CD71" s="268"/>
      <c r="CE71" s="251"/>
      <c r="CF71" s="63">
        <f>SUM(CF65:CF70)</f>
        <v>0</v>
      </c>
      <c r="CG71" s="266"/>
      <c r="CH71" s="251"/>
      <c r="CI71" s="271" t="s">
        <v>184</v>
      </c>
      <c r="CJ71" s="251"/>
      <c r="CK71" s="268"/>
      <c r="CL71" s="251"/>
      <c r="CM71" s="63">
        <f>SUM(CM65:CM70)</f>
        <v>0</v>
      </c>
      <c r="CN71" s="266"/>
      <c r="CO71" s="251"/>
    </row>
    <row r="73" spans="2:93" ht="14.65" thickBot="1" x14ac:dyDescent="0.5">
      <c r="K73" s="51"/>
      <c r="R73" s="51"/>
    </row>
    <row r="74" spans="2:93" ht="14.65" thickBot="1" x14ac:dyDescent="0.5">
      <c r="B74" s="33" t="s">
        <v>185</v>
      </c>
      <c r="C74" s="34"/>
      <c r="D74" s="34"/>
      <c r="E74" s="34"/>
      <c r="F74" s="34"/>
      <c r="G74" s="113"/>
      <c r="H74" s="35"/>
      <c r="I74" s="185"/>
      <c r="J74" s="187"/>
    </row>
    <row r="75" spans="2:93" ht="14.65" thickBot="1" x14ac:dyDescent="0.5">
      <c r="I75" s="166" t="str">
        <f>IF(OR(D2="",I74=""),"",I74-D2)</f>
        <v/>
      </c>
      <c r="J75" s="187"/>
    </row>
    <row r="76" spans="2:93" ht="14.65" thickBot="1" x14ac:dyDescent="0.5">
      <c r="B76" s="39" t="s">
        <v>186</v>
      </c>
      <c r="C76" s="34"/>
      <c r="D76" s="34"/>
      <c r="E76" s="34"/>
      <c r="F76" s="34"/>
      <c r="G76" s="113"/>
      <c r="H76" s="35"/>
      <c r="I76" s="186" t="str">
        <f>IF(OR(SUM(J54,Q54,X54,AE54,AL54,AS54,AZ54,BG54,BN54,BU54,CB54,CI54)=0,I75="",K60=""),"",I75+K60)</f>
        <v/>
      </c>
      <c r="J76" s="187"/>
    </row>
    <row r="77" spans="2:93" x14ac:dyDescent="0.45">
      <c r="K77" s="51"/>
    </row>
  </sheetData>
  <autoFilter ref="A24:DA24" xr:uid="{00000000-0001-0000-0100-000000000000}">
    <filterColumn colId="2" showButton="0"/>
    <filterColumn colId="4" showButton="0"/>
    <filterColumn colId="5" showButton="0"/>
    <filterColumn colId="6" showButton="0"/>
    <filterColumn colId="7" showButton="0"/>
    <filterColumn colId="11" showButton="0"/>
    <filterColumn colId="12" showButton="0"/>
    <filterColumn colId="13" showButton="0"/>
    <filterColumn colId="14" showButton="0"/>
    <filterColumn colId="18" showButton="0"/>
    <filterColumn colId="19" showButton="0"/>
    <filterColumn colId="20" showButton="0"/>
    <filterColumn colId="21" showButton="0"/>
    <filterColumn colId="25" showButton="0"/>
    <filterColumn colId="26" showButton="0"/>
    <filterColumn colId="27" showButton="0"/>
    <filterColumn colId="28" showButton="0"/>
    <filterColumn colId="32" showButton="0"/>
    <filterColumn colId="33" showButton="0"/>
    <filterColumn colId="34" showButton="0"/>
    <filterColumn colId="35" showButton="0"/>
    <filterColumn colId="39" showButton="0"/>
    <filterColumn colId="40" showButton="0"/>
    <filterColumn colId="41" showButton="0"/>
    <filterColumn colId="42" showButton="0"/>
    <filterColumn colId="46" showButton="0"/>
    <filterColumn colId="47" showButton="0"/>
    <filterColumn colId="48" showButton="0"/>
    <filterColumn colId="49" showButton="0"/>
    <filterColumn colId="53" showButton="0"/>
    <filterColumn colId="54" showButton="0"/>
    <filterColumn colId="55" showButton="0"/>
    <filterColumn colId="56" showButton="0"/>
    <filterColumn colId="60" showButton="0"/>
    <filterColumn colId="61" showButton="0"/>
    <filterColumn colId="62" showButton="0"/>
    <filterColumn colId="63" showButton="0"/>
    <filterColumn colId="67" showButton="0"/>
    <filterColumn colId="68" showButton="0"/>
    <filterColumn colId="69" showButton="0"/>
    <filterColumn colId="70" showButton="0"/>
    <filterColumn colId="74" showButton="0"/>
    <filterColumn colId="75" showButton="0"/>
    <filterColumn colId="76" showButton="0"/>
    <filterColumn colId="77" showButton="0"/>
    <filterColumn colId="81" showButton="0"/>
    <filterColumn colId="82" showButton="0"/>
    <filterColumn colId="83" showButton="0"/>
    <filterColumn colId="84" showButton="0"/>
    <filterColumn colId="88" showButton="0"/>
    <filterColumn colId="89" showButton="0"/>
    <filterColumn colId="90" showButton="0"/>
    <filterColumn colId="91" showButton="0"/>
  </autoFilter>
  <mergeCells count="718">
    <mergeCell ref="CN71:CO71"/>
    <mergeCell ref="BI67:BJ67"/>
    <mergeCell ref="E36:I36"/>
    <mergeCell ref="BB30:BF30"/>
    <mergeCell ref="CD38:CH38"/>
    <mergeCell ref="CK41:CO41"/>
    <mergeCell ref="CK28:CO28"/>
    <mergeCell ref="L30:P30"/>
    <mergeCell ref="BB64:BC64"/>
    <mergeCell ref="BE69:BF69"/>
    <mergeCell ref="CD53:CH53"/>
    <mergeCell ref="AQ68:AR68"/>
    <mergeCell ref="CD40:CH40"/>
    <mergeCell ref="AS68:AT68"/>
    <mergeCell ref="AN50:AR50"/>
    <mergeCell ref="BP39:BT39"/>
    <mergeCell ref="E43:I43"/>
    <mergeCell ref="E42:I42"/>
    <mergeCell ref="O71:P71"/>
    <mergeCell ref="BU71:BV71"/>
    <mergeCell ref="BW71:BX71"/>
    <mergeCell ref="L45:P45"/>
    <mergeCell ref="BP31:BT31"/>
    <mergeCell ref="BE70:BF70"/>
    <mergeCell ref="CK26:CO26"/>
    <mergeCell ref="S24:W24"/>
    <mergeCell ref="AU29:AY29"/>
    <mergeCell ref="AN67:AO67"/>
    <mergeCell ref="CD25:CH25"/>
    <mergeCell ref="CG65:CH65"/>
    <mergeCell ref="AG33:AK33"/>
    <mergeCell ref="CK34:CO34"/>
    <mergeCell ref="CK32:CO32"/>
    <mergeCell ref="CK40:CO40"/>
    <mergeCell ref="AG36:AK36"/>
    <mergeCell ref="BW39:CA39"/>
    <mergeCell ref="AU45:AY45"/>
    <mergeCell ref="CD65:CE65"/>
    <mergeCell ref="CK35:CO35"/>
    <mergeCell ref="AU51:AY51"/>
    <mergeCell ref="CK37:CO37"/>
    <mergeCell ref="CK25:CO25"/>
    <mergeCell ref="CK42:CO42"/>
    <mergeCell ref="CN65:CO65"/>
    <mergeCell ref="CK38:CO38"/>
    <mergeCell ref="CI64:CJ64"/>
    <mergeCell ref="CI67:CJ67"/>
    <mergeCell ref="BP25:BT25"/>
    <mergeCell ref="B2:C2"/>
    <mergeCell ref="BP46:BT46"/>
    <mergeCell ref="X23:AD23"/>
    <mergeCell ref="O68:P68"/>
    <mergeCell ref="L31:P31"/>
    <mergeCell ref="BW25:CA25"/>
    <mergeCell ref="B23:H23"/>
    <mergeCell ref="L32:P32"/>
    <mergeCell ref="BB66:BC66"/>
    <mergeCell ref="S39:W39"/>
    <mergeCell ref="L33:P33"/>
    <mergeCell ref="S29:W29"/>
    <mergeCell ref="BL64:BM64"/>
    <mergeCell ref="C44:D44"/>
    <mergeCell ref="E44:I44"/>
    <mergeCell ref="AB4:AC4"/>
    <mergeCell ref="AL23:AR23"/>
    <mergeCell ref="AG25:AK25"/>
    <mergeCell ref="AS23:AY23"/>
    <mergeCell ref="Y5:Z5"/>
    <mergeCell ref="C51:D51"/>
    <mergeCell ref="C26:D26"/>
    <mergeCell ref="BP68:BQ68"/>
    <mergeCell ref="BI46:BM46"/>
    <mergeCell ref="BZ70:CA70"/>
    <mergeCell ref="BW69:BX69"/>
    <mergeCell ref="BW29:CA29"/>
    <mergeCell ref="AL69:AM69"/>
    <mergeCell ref="AQ70:AR70"/>
    <mergeCell ref="AN69:AO69"/>
    <mergeCell ref="BL70:BM70"/>
    <mergeCell ref="BL66:BM66"/>
    <mergeCell ref="BW51:CA51"/>
    <mergeCell ref="BI35:BM35"/>
    <mergeCell ref="BW42:CA42"/>
    <mergeCell ref="BW46:CA46"/>
    <mergeCell ref="AX65:AY65"/>
    <mergeCell ref="BG65:BH65"/>
    <mergeCell ref="BP69:BQ69"/>
    <mergeCell ref="BE68:BF68"/>
    <mergeCell ref="AS65:AT65"/>
    <mergeCell ref="AU65:AV65"/>
    <mergeCell ref="BZ69:CA69"/>
    <mergeCell ref="BL68:BM68"/>
    <mergeCell ref="BU70:BV70"/>
    <mergeCell ref="AX70:AY70"/>
    <mergeCell ref="CB23:CH23"/>
    <mergeCell ref="AN30:AR30"/>
    <mergeCell ref="BB65:BC65"/>
    <mergeCell ref="AB6:AC6"/>
    <mergeCell ref="BW28:CA28"/>
    <mergeCell ref="BP50:BT50"/>
    <mergeCell ref="AB7:AC7"/>
    <mergeCell ref="BL69:BM69"/>
    <mergeCell ref="AG29:AK29"/>
    <mergeCell ref="AZ67:BA67"/>
    <mergeCell ref="AX69:AY69"/>
    <mergeCell ref="AZ69:BA69"/>
    <mergeCell ref="BB69:BC69"/>
    <mergeCell ref="AL68:AM68"/>
    <mergeCell ref="AN68:AO68"/>
    <mergeCell ref="BN23:BT23"/>
    <mergeCell ref="BN68:BO68"/>
    <mergeCell ref="AG32:AK32"/>
    <mergeCell ref="BW66:BX66"/>
    <mergeCell ref="Z52:AD52"/>
    <mergeCell ref="AG31:AK31"/>
    <mergeCell ref="BG23:BM23"/>
    <mergeCell ref="Y6:Z6"/>
    <mergeCell ref="BG68:BH68"/>
    <mergeCell ref="J23:P23"/>
    <mergeCell ref="L25:P25"/>
    <mergeCell ref="E26:I26"/>
    <mergeCell ref="AE23:AK23"/>
    <mergeCell ref="AG41:AK41"/>
    <mergeCell ref="BI24:BM24"/>
    <mergeCell ref="BI26:BM26"/>
    <mergeCell ref="BB24:BF24"/>
    <mergeCell ref="AG28:AK28"/>
    <mergeCell ref="AN25:AR25"/>
    <mergeCell ref="BI25:BM25"/>
    <mergeCell ref="AN27:AR27"/>
    <mergeCell ref="BB33:BF33"/>
    <mergeCell ref="AU25:AY25"/>
    <mergeCell ref="AU27:AY27"/>
    <mergeCell ref="Y7:Z7"/>
    <mergeCell ref="Q23:W23"/>
    <mergeCell ref="L48:P48"/>
    <mergeCell ref="CI69:CJ69"/>
    <mergeCell ref="BS68:BT68"/>
    <mergeCell ref="BU68:BV68"/>
    <mergeCell ref="AU41:AY41"/>
    <mergeCell ref="S47:W47"/>
    <mergeCell ref="BS65:BT65"/>
    <mergeCell ref="BB35:BF35"/>
    <mergeCell ref="CD45:CH45"/>
    <mergeCell ref="AG52:AK52"/>
    <mergeCell ref="AU36:AY36"/>
    <mergeCell ref="AG35:AK35"/>
    <mergeCell ref="CG68:CH68"/>
    <mergeCell ref="BB40:BF40"/>
    <mergeCell ref="CD50:CH50"/>
    <mergeCell ref="CD24:CH24"/>
    <mergeCell ref="CD29:CH29"/>
    <mergeCell ref="BI29:BM29"/>
    <mergeCell ref="BP33:BT33"/>
    <mergeCell ref="BP36:BT36"/>
    <mergeCell ref="BI33:BM33"/>
    <mergeCell ref="S25:W25"/>
    <mergeCell ref="CG69:CH69"/>
    <mergeCell ref="C39:D39"/>
    <mergeCell ref="AC68:AD68"/>
    <mergeCell ref="AE68:AF68"/>
    <mergeCell ref="AX68:AY68"/>
    <mergeCell ref="C36:D36"/>
    <mergeCell ref="AZ68:BA68"/>
    <mergeCell ref="S32:W32"/>
    <mergeCell ref="O64:P64"/>
    <mergeCell ref="L67:M67"/>
    <mergeCell ref="C52:D52"/>
    <mergeCell ref="L68:M68"/>
    <mergeCell ref="C49:D49"/>
    <mergeCell ref="J65:K65"/>
    <mergeCell ref="L65:M65"/>
    <mergeCell ref="AC65:AD65"/>
    <mergeCell ref="AC64:AD64"/>
    <mergeCell ref="AE64:AF64"/>
    <mergeCell ref="E48:I48"/>
    <mergeCell ref="BI47:BM47"/>
    <mergeCell ref="BI68:BJ68"/>
    <mergeCell ref="AC70:AD70"/>
    <mergeCell ref="AE70:AF70"/>
    <mergeCell ref="AE71:AF71"/>
    <mergeCell ref="AG71:AH71"/>
    <mergeCell ref="BI38:BM38"/>
    <mergeCell ref="AG65:AH65"/>
    <mergeCell ref="BN69:BO69"/>
    <mergeCell ref="C48:D48"/>
    <mergeCell ref="BN71:BO71"/>
    <mergeCell ref="AN46:AR46"/>
    <mergeCell ref="L50:P50"/>
    <mergeCell ref="V71:W71"/>
    <mergeCell ref="X71:Y71"/>
    <mergeCell ref="AU42:AY42"/>
    <mergeCell ref="X65:Y65"/>
    <mergeCell ref="BB38:BF38"/>
    <mergeCell ref="Z65:AA65"/>
    <mergeCell ref="Z64:AA64"/>
    <mergeCell ref="AN39:AR39"/>
    <mergeCell ref="X66:Y66"/>
    <mergeCell ref="BB48:BF48"/>
    <mergeCell ref="Z66:AA66"/>
    <mergeCell ref="J71:K71"/>
    <mergeCell ref="AE65:AF65"/>
    <mergeCell ref="CK33:CO33"/>
    <mergeCell ref="CK29:CO29"/>
    <mergeCell ref="BW30:CA30"/>
    <mergeCell ref="BW32:CA32"/>
    <mergeCell ref="CK52:CO52"/>
    <mergeCell ref="CK39:CO39"/>
    <mergeCell ref="AN35:AR35"/>
    <mergeCell ref="BB42:BF42"/>
    <mergeCell ref="BB29:BF29"/>
    <mergeCell ref="BI32:BM32"/>
    <mergeCell ref="AN29:AR29"/>
    <mergeCell ref="CK46:CO46"/>
    <mergeCell ref="CD31:CH31"/>
    <mergeCell ref="CD33:CH33"/>
    <mergeCell ref="CK30:CO30"/>
    <mergeCell ref="CD34:CH34"/>
    <mergeCell ref="BW37:CA37"/>
    <mergeCell ref="CD37:CH37"/>
    <mergeCell ref="BP32:BT32"/>
    <mergeCell ref="BP34:BT34"/>
    <mergeCell ref="AN37:AR37"/>
    <mergeCell ref="BB46:BF46"/>
    <mergeCell ref="BW41:CA41"/>
    <mergeCell ref="BB32:BF32"/>
    <mergeCell ref="AZ70:BA70"/>
    <mergeCell ref="J68:K68"/>
    <mergeCell ref="AS67:AT67"/>
    <mergeCell ref="AS71:AT71"/>
    <mergeCell ref="AS66:AT66"/>
    <mergeCell ref="AX67:AY67"/>
    <mergeCell ref="AU66:AV66"/>
    <mergeCell ref="Q69:R69"/>
    <mergeCell ref="AZ71:BA71"/>
    <mergeCell ref="S71:T71"/>
    <mergeCell ref="AQ71:AR71"/>
    <mergeCell ref="AJ66:AK66"/>
    <mergeCell ref="V67:W67"/>
    <mergeCell ref="AJ67:AK67"/>
    <mergeCell ref="L70:M70"/>
    <mergeCell ref="O70:P70"/>
    <mergeCell ref="V69:W69"/>
    <mergeCell ref="V70:W70"/>
    <mergeCell ref="S69:T69"/>
    <mergeCell ref="AC71:AD71"/>
    <mergeCell ref="Z68:AA68"/>
    <mergeCell ref="AX71:AY71"/>
    <mergeCell ref="Q70:R70"/>
    <mergeCell ref="S70:T70"/>
    <mergeCell ref="L71:M71"/>
    <mergeCell ref="S53:W53"/>
    <mergeCell ref="C35:D35"/>
    <mergeCell ref="C38:D38"/>
    <mergeCell ref="C45:D45"/>
    <mergeCell ref="C47:D47"/>
    <mergeCell ref="L41:P41"/>
    <mergeCell ref="L28:P28"/>
    <mergeCell ref="Q71:R71"/>
    <mergeCell ref="C28:D28"/>
    <mergeCell ref="E49:I49"/>
    <mergeCell ref="E39:I39"/>
    <mergeCell ref="S45:W45"/>
    <mergeCell ref="E28:I28"/>
    <mergeCell ref="S30:W30"/>
    <mergeCell ref="E29:I29"/>
    <mergeCell ref="L27:P27"/>
    <mergeCell ref="C34:D34"/>
    <mergeCell ref="S27:W27"/>
    <mergeCell ref="C31:D31"/>
    <mergeCell ref="E30:I30"/>
    <mergeCell ref="AG38:AK38"/>
    <mergeCell ref="AU47:AY47"/>
    <mergeCell ref="E32:I32"/>
    <mergeCell ref="C41:D41"/>
    <mergeCell ref="CN64:CO64"/>
    <mergeCell ref="CK68:CL68"/>
    <mergeCell ref="Z41:AD41"/>
    <mergeCell ref="BW52:CA52"/>
    <mergeCell ref="CN66:CO66"/>
    <mergeCell ref="AU37:AY37"/>
    <mergeCell ref="BP37:BT37"/>
    <mergeCell ref="Z45:AD45"/>
    <mergeCell ref="AC67:AD67"/>
    <mergeCell ref="AE67:AF67"/>
    <mergeCell ref="AN65:AO65"/>
    <mergeCell ref="CD67:CE67"/>
    <mergeCell ref="BU65:BV65"/>
    <mergeCell ref="BW65:BX65"/>
    <mergeCell ref="CK53:CO53"/>
    <mergeCell ref="AG64:AH64"/>
    <mergeCell ref="BW49:CA49"/>
    <mergeCell ref="CG64:CH64"/>
    <mergeCell ref="CD48:CH48"/>
    <mergeCell ref="Z42:AD42"/>
    <mergeCell ref="AU64:AV64"/>
    <mergeCell ref="AG53:AK53"/>
    <mergeCell ref="CG66:CH66"/>
    <mergeCell ref="CB68:CC68"/>
    <mergeCell ref="CK71:CL71"/>
    <mergeCell ref="CD49:CH49"/>
    <mergeCell ref="BW38:CA38"/>
    <mergeCell ref="AL70:AM70"/>
    <mergeCell ref="CI70:CJ70"/>
    <mergeCell ref="CK70:CL70"/>
    <mergeCell ref="BI40:BM40"/>
    <mergeCell ref="BZ67:CA67"/>
    <mergeCell ref="CB67:CC67"/>
    <mergeCell ref="BZ71:CA71"/>
    <mergeCell ref="CB64:CC64"/>
    <mergeCell ref="CD64:CE64"/>
    <mergeCell ref="BW70:BX70"/>
    <mergeCell ref="CB66:CC66"/>
    <mergeCell ref="CD66:CE66"/>
    <mergeCell ref="BW48:CA48"/>
    <mergeCell ref="BL71:BM71"/>
    <mergeCell ref="AU71:AV71"/>
    <mergeCell ref="BG71:BH71"/>
    <mergeCell ref="BI71:BJ71"/>
    <mergeCell ref="BI65:BJ65"/>
    <mergeCell ref="BI52:BM52"/>
    <mergeCell ref="AU38:AY38"/>
    <mergeCell ref="BB41:BF41"/>
    <mergeCell ref="CK27:CO27"/>
    <mergeCell ref="BG66:BH66"/>
    <mergeCell ref="BP53:BT53"/>
    <mergeCell ref="AQ69:AR69"/>
    <mergeCell ref="BI66:BJ66"/>
    <mergeCell ref="CD39:CH39"/>
    <mergeCell ref="AS69:AT69"/>
    <mergeCell ref="BZ65:CA65"/>
    <mergeCell ref="CB65:CC65"/>
    <mergeCell ref="AU67:AV67"/>
    <mergeCell ref="BW34:CA34"/>
    <mergeCell ref="AU53:AY53"/>
    <mergeCell ref="BB51:BF51"/>
    <mergeCell ref="AU40:AY40"/>
    <mergeCell ref="BS69:BT69"/>
    <mergeCell ref="BU69:BV69"/>
    <mergeCell ref="CK31:CO31"/>
    <mergeCell ref="CD42:CH42"/>
    <mergeCell ref="CN69:CO69"/>
    <mergeCell ref="BW53:CA53"/>
    <mergeCell ref="CD51:CH51"/>
    <mergeCell ref="BS64:BT64"/>
    <mergeCell ref="AQ65:AR65"/>
    <mergeCell ref="CI68:CJ68"/>
    <mergeCell ref="BP70:BQ70"/>
    <mergeCell ref="BW40:CA40"/>
    <mergeCell ref="BB47:BF47"/>
    <mergeCell ref="Z71:AA71"/>
    <mergeCell ref="BN66:BO66"/>
    <mergeCell ref="AN48:AR48"/>
    <mergeCell ref="AC66:AD66"/>
    <mergeCell ref="BN65:BO65"/>
    <mergeCell ref="BN67:BO67"/>
    <mergeCell ref="BP67:BQ67"/>
    <mergeCell ref="BP51:BT51"/>
    <mergeCell ref="BI48:BM48"/>
    <mergeCell ref="BB45:BF45"/>
    <mergeCell ref="BW67:BX67"/>
    <mergeCell ref="BS67:BT67"/>
    <mergeCell ref="BN64:BO64"/>
    <mergeCell ref="BG67:BH67"/>
    <mergeCell ref="BL65:BM65"/>
    <mergeCell ref="AS64:AT64"/>
    <mergeCell ref="BI53:BM53"/>
    <mergeCell ref="BP66:BQ66"/>
    <mergeCell ref="BB71:BC71"/>
    <mergeCell ref="AG48:AK48"/>
    <mergeCell ref="AN71:AO71"/>
    <mergeCell ref="J70:K70"/>
    <mergeCell ref="L29:P29"/>
    <mergeCell ref="CD52:CH52"/>
    <mergeCell ref="BW24:CA24"/>
    <mergeCell ref="Z38:AD38"/>
    <mergeCell ref="CK36:CO36"/>
    <mergeCell ref="AU68:AV68"/>
    <mergeCell ref="AZ64:BA64"/>
    <mergeCell ref="BW35:CA35"/>
    <mergeCell ref="CK24:CO24"/>
    <mergeCell ref="CK48:CO48"/>
    <mergeCell ref="CK67:CL67"/>
    <mergeCell ref="CK49:CO49"/>
    <mergeCell ref="O67:P67"/>
    <mergeCell ref="CK51:CO51"/>
    <mergeCell ref="CD41:CH41"/>
    <mergeCell ref="CD28:CH28"/>
    <mergeCell ref="BI49:BM49"/>
    <mergeCell ref="BW45:CA45"/>
    <mergeCell ref="BW47:CA47"/>
    <mergeCell ref="BI51:BM51"/>
    <mergeCell ref="BW33:CA33"/>
    <mergeCell ref="BB31:BF31"/>
    <mergeCell ref="BI34:BM34"/>
    <mergeCell ref="Y9:Z9"/>
    <mergeCell ref="AG27:AK27"/>
    <mergeCell ref="AZ23:BF23"/>
    <mergeCell ref="AN38:AR38"/>
    <mergeCell ref="AN40:AR40"/>
    <mergeCell ref="BB25:BF25"/>
    <mergeCell ref="BB27:BF27"/>
    <mergeCell ref="AN24:AR24"/>
    <mergeCell ref="AN26:AR26"/>
    <mergeCell ref="AU32:AY32"/>
    <mergeCell ref="AU28:AY28"/>
    <mergeCell ref="BB34:BF34"/>
    <mergeCell ref="Z39:AD39"/>
    <mergeCell ref="BB39:BF39"/>
    <mergeCell ref="AB9:AC9"/>
    <mergeCell ref="C46:D46"/>
    <mergeCell ref="E31:I31"/>
    <mergeCell ref="E25:I25"/>
    <mergeCell ref="L47:P47"/>
    <mergeCell ref="S42:W42"/>
    <mergeCell ref="Z46:AD46"/>
    <mergeCell ref="C50:D50"/>
    <mergeCell ref="BB37:BF37"/>
    <mergeCell ref="L52:P52"/>
    <mergeCell ref="AG39:AK39"/>
    <mergeCell ref="AU52:AY52"/>
    <mergeCell ref="AG42:AK42"/>
    <mergeCell ref="AG40:AK40"/>
    <mergeCell ref="BB52:BF52"/>
    <mergeCell ref="Z35:AD35"/>
    <mergeCell ref="Z47:AD47"/>
    <mergeCell ref="AG50:AK50"/>
    <mergeCell ref="Z30:AD30"/>
    <mergeCell ref="AU34:AY34"/>
    <mergeCell ref="AN51:AR51"/>
    <mergeCell ref="BB50:BF50"/>
    <mergeCell ref="AN49:AR49"/>
    <mergeCell ref="C40:D40"/>
    <mergeCell ref="C33:D33"/>
    <mergeCell ref="E35:I35"/>
    <mergeCell ref="S41:W41"/>
    <mergeCell ref="E50:I50"/>
    <mergeCell ref="S52:W52"/>
    <mergeCell ref="E51:I51"/>
    <mergeCell ref="L40:P40"/>
    <mergeCell ref="L36:P36"/>
    <mergeCell ref="L37:P37"/>
    <mergeCell ref="S48:W48"/>
    <mergeCell ref="L38:P38"/>
    <mergeCell ref="L53:P53"/>
    <mergeCell ref="E47:I47"/>
    <mergeCell ref="L39:P39"/>
    <mergeCell ref="E46:I46"/>
    <mergeCell ref="L49:P49"/>
    <mergeCell ref="L51:P51"/>
    <mergeCell ref="E37:I37"/>
    <mergeCell ref="L46:P46"/>
    <mergeCell ref="J2:R2"/>
    <mergeCell ref="E34:I34"/>
    <mergeCell ref="O65:P65"/>
    <mergeCell ref="V64:W64"/>
    <mergeCell ref="X64:Y64"/>
    <mergeCell ref="Y8:Z8"/>
    <mergeCell ref="AB8:AC8"/>
    <mergeCell ref="Z40:AD40"/>
    <mergeCell ref="Z29:AD29"/>
    <mergeCell ref="Z26:AD26"/>
    <mergeCell ref="S38:W38"/>
    <mergeCell ref="Z28:AD28"/>
    <mergeCell ref="S50:W50"/>
    <mergeCell ref="S40:W40"/>
    <mergeCell ref="E41:I41"/>
    <mergeCell ref="Y4:Z4"/>
    <mergeCell ref="AB5:AC5"/>
    <mergeCell ref="S51:W51"/>
    <mergeCell ref="S36:W36"/>
    <mergeCell ref="Q65:R65"/>
    <mergeCell ref="Z25:AD25"/>
    <mergeCell ref="E40:I40"/>
    <mergeCell ref="Y15:Z15"/>
    <mergeCell ref="E45:I45"/>
    <mergeCell ref="J69:K69"/>
    <mergeCell ref="Q66:R66"/>
    <mergeCell ref="L69:M69"/>
    <mergeCell ref="L64:M64"/>
    <mergeCell ref="B53:I53"/>
    <mergeCell ref="Z50:AD50"/>
    <mergeCell ref="X69:Y69"/>
    <mergeCell ref="O66:P66"/>
    <mergeCell ref="J67:K67"/>
    <mergeCell ref="J66:K66"/>
    <mergeCell ref="L66:M66"/>
    <mergeCell ref="V66:W66"/>
    <mergeCell ref="AC69:AD69"/>
    <mergeCell ref="S67:T67"/>
    <mergeCell ref="O69:P69"/>
    <mergeCell ref="E52:I52"/>
    <mergeCell ref="J64:K64"/>
    <mergeCell ref="Q68:R68"/>
    <mergeCell ref="S68:T68"/>
    <mergeCell ref="Q67:R67"/>
    <mergeCell ref="Z69:AA69"/>
    <mergeCell ref="CI23:CO23"/>
    <mergeCell ref="S49:W49"/>
    <mergeCell ref="AN34:AR34"/>
    <mergeCell ref="AU30:AY30"/>
    <mergeCell ref="CK64:CL64"/>
    <mergeCell ref="Z37:AD37"/>
    <mergeCell ref="CK47:CO47"/>
    <mergeCell ref="BZ68:CA68"/>
    <mergeCell ref="BP52:BT52"/>
    <mergeCell ref="BW50:CA50"/>
    <mergeCell ref="BW31:CA31"/>
    <mergeCell ref="CI66:CJ66"/>
    <mergeCell ref="AJ68:AK68"/>
    <mergeCell ref="CK66:CL66"/>
    <mergeCell ref="BI39:BM39"/>
    <mergeCell ref="CD30:CH30"/>
    <mergeCell ref="AN31:AR31"/>
    <mergeCell ref="AG45:AK45"/>
    <mergeCell ref="BW26:CA26"/>
    <mergeCell ref="AG26:AK26"/>
    <mergeCell ref="S33:W33"/>
    <mergeCell ref="S31:W31"/>
    <mergeCell ref="AN53:AR53"/>
    <mergeCell ref="AG47:AK47"/>
    <mergeCell ref="S37:W37"/>
    <mergeCell ref="S35:W35"/>
    <mergeCell ref="CD32:CH32"/>
    <mergeCell ref="AG30:AK30"/>
    <mergeCell ref="AU33:AY33"/>
    <mergeCell ref="BI30:BM30"/>
    <mergeCell ref="CI71:CJ71"/>
    <mergeCell ref="CI65:CJ65"/>
    <mergeCell ref="CK45:CO45"/>
    <mergeCell ref="CK65:CL65"/>
    <mergeCell ref="X70:Y70"/>
    <mergeCell ref="Z70:AA70"/>
    <mergeCell ref="AE69:AF69"/>
    <mergeCell ref="AG69:AH69"/>
    <mergeCell ref="AQ64:AR64"/>
    <mergeCell ref="AJ69:AK69"/>
    <mergeCell ref="AG68:AH68"/>
    <mergeCell ref="AL64:AM64"/>
    <mergeCell ref="AQ66:AR66"/>
    <mergeCell ref="AG67:AH67"/>
    <mergeCell ref="AE66:AF66"/>
    <mergeCell ref="BS71:BT71"/>
    <mergeCell ref="BP49:BT49"/>
    <mergeCell ref="BN70:BO70"/>
    <mergeCell ref="AG37:AK37"/>
    <mergeCell ref="BP40:BT40"/>
    <mergeCell ref="BI36:BM36"/>
    <mergeCell ref="AU35:AY35"/>
    <mergeCell ref="A23:A24"/>
    <mergeCell ref="Z32:AD32"/>
    <mergeCell ref="Z31:AD31"/>
    <mergeCell ref="Z27:AD27"/>
    <mergeCell ref="E38:I38"/>
    <mergeCell ref="AG24:AK24"/>
    <mergeCell ref="Z33:AD33"/>
    <mergeCell ref="C32:D32"/>
    <mergeCell ref="C30:D30"/>
    <mergeCell ref="L34:P34"/>
    <mergeCell ref="L26:P26"/>
    <mergeCell ref="E24:I24"/>
    <mergeCell ref="C24:D24"/>
    <mergeCell ref="Z34:AD34"/>
    <mergeCell ref="S28:W28"/>
    <mergeCell ref="S26:W26"/>
    <mergeCell ref="E33:I33"/>
    <mergeCell ref="BP35:BT35"/>
    <mergeCell ref="S34:W34"/>
    <mergeCell ref="AN32:AR32"/>
    <mergeCell ref="CD69:CE69"/>
    <mergeCell ref="BG69:BH69"/>
    <mergeCell ref="BI69:BJ69"/>
    <mergeCell ref="AX64:AY64"/>
    <mergeCell ref="BU64:BV64"/>
    <mergeCell ref="BE65:BF65"/>
    <mergeCell ref="CD27:CH27"/>
    <mergeCell ref="BP28:BT28"/>
    <mergeCell ref="AU50:AY50"/>
    <mergeCell ref="CD68:CE68"/>
    <mergeCell ref="BB49:BF49"/>
    <mergeCell ref="BP47:BT47"/>
    <mergeCell ref="CG67:CH67"/>
    <mergeCell ref="AU46:AY46"/>
    <mergeCell ref="BP27:BT27"/>
    <mergeCell ref="BI28:BM28"/>
    <mergeCell ref="BW27:CA27"/>
    <mergeCell ref="BI37:BM37"/>
    <mergeCell ref="BP42:BT42"/>
    <mergeCell ref="BP29:BT29"/>
    <mergeCell ref="BB53:BF53"/>
    <mergeCell ref="BS66:BT66"/>
    <mergeCell ref="BE67:BF67"/>
    <mergeCell ref="BP38:BT38"/>
    <mergeCell ref="CD26:CH26"/>
    <mergeCell ref="BI31:BM31"/>
    <mergeCell ref="BI27:BM27"/>
    <mergeCell ref="BP45:BT45"/>
    <mergeCell ref="AN45:AR45"/>
    <mergeCell ref="BI41:BM41"/>
    <mergeCell ref="AN41:AR41"/>
    <mergeCell ref="AN33:AR33"/>
    <mergeCell ref="AN36:AR36"/>
    <mergeCell ref="AN28:AR28"/>
    <mergeCell ref="BB28:BF28"/>
    <mergeCell ref="BB26:BF26"/>
    <mergeCell ref="CD36:CH36"/>
    <mergeCell ref="BP26:BT26"/>
    <mergeCell ref="S46:W46"/>
    <mergeCell ref="AG46:AK46"/>
    <mergeCell ref="CG71:CH71"/>
    <mergeCell ref="BB67:BC67"/>
    <mergeCell ref="AU70:AV70"/>
    <mergeCell ref="AX66:AY66"/>
    <mergeCell ref="AS70:AT70"/>
    <mergeCell ref="AZ66:BA66"/>
    <mergeCell ref="AJ70:AK70"/>
    <mergeCell ref="AN47:AR47"/>
    <mergeCell ref="CG70:CH70"/>
    <mergeCell ref="BP71:BQ71"/>
    <mergeCell ref="AN70:AO70"/>
    <mergeCell ref="AL71:AM71"/>
    <mergeCell ref="BG70:BH70"/>
    <mergeCell ref="BI70:BJ70"/>
    <mergeCell ref="CB71:CC71"/>
    <mergeCell ref="CD71:CE71"/>
    <mergeCell ref="BS70:BT70"/>
    <mergeCell ref="AJ64:AK64"/>
    <mergeCell ref="AG51:AK51"/>
    <mergeCell ref="CB70:CC70"/>
    <mergeCell ref="CD70:CE70"/>
    <mergeCell ref="CB69:CC69"/>
    <mergeCell ref="BU66:BV66"/>
    <mergeCell ref="BP65:BQ65"/>
    <mergeCell ref="BP64:BQ64"/>
    <mergeCell ref="BU67:BV67"/>
    <mergeCell ref="AJ65:AK65"/>
    <mergeCell ref="AG49:AK49"/>
    <mergeCell ref="AL65:AM65"/>
    <mergeCell ref="X67:Y67"/>
    <mergeCell ref="S65:T65"/>
    <mergeCell ref="V65:W65"/>
    <mergeCell ref="AL67:AM67"/>
    <mergeCell ref="BI64:BJ64"/>
    <mergeCell ref="AG66:AH66"/>
    <mergeCell ref="BG64:BH64"/>
    <mergeCell ref="AZ65:BA65"/>
    <mergeCell ref="A58:A60"/>
    <mergeCell ref="AJ71:AK71"/>
    <mergeCell ref="CD35:CH35"/>
    <mergeCell ref="AG34:AK34"/>
    <mergeCell ref="CK69:CL69"/>
    <mergeCell ref="BI42:BM42"/>
    <mergeCell ref="BW68:BX68"/>
    <mergeCell ref="C29:D29"/>
    <mergeCell ref="AU69:AV69"/>
    <mergeCell ref="CD47:CH47"/>
    <mergeCell ref="BW36:CA36"/>
    <mergeCell ref="BE66:BF66"/>
    <mergeCell ref="AN64:AO64"/>
    <mergeCell ref="BI45:BM45"/>
    <mergeCell ref="AG70:AH70"/>
    <mergeCell ref="AL66:AM66"/>
    <mergeCell ref="AN52:AR52"/>
    <mergeCell ref="BB36:BF36"/>
    <mergeCell ref="Q64:R64"/>
    <mergeCell ref="S64:T64"/>
    <mergeCell ref="AU31:AY31"/>
    <mergeCell ref="BB70:BC70"/>
    <mergeCell ref="AU48:AY48"/>
    <mergeCell ref="BE71:BF71"/>
    <mergeCell ref="CN68:CO68"/>
    <mergeCell ref="H2:I2"/>
    <mergeCell ref="CK50:CO50"/>
    <mergeCell ref="BE64:BF64"/>
    <mergeCell ref="Z24:AD24"/>
    <mergeCell ref="CN67:CO67"/>
    <mergeCell ref="Z53:AD53"/>
    <mergeCell ref="S66:T66"/>
    <mergeCell ref="BP48:BT48"/>
    <mergeCell ref="AQ67:AR67"/>
    <mergeCell ref="AN66:AO66"/>
    <mergeCell ref="Z48:AD48"/>
    <mergeCell ref="BZ64:CA64"/>
    <mergeCell ref="Z67:AA67"/>
    <mergeCell ref="E27:I27"/>
    <mergeCell ref="L24:P24"/>
    <mergeCell ref="BP30:BT30"/>
    <mergeCell ref="BU23:CA23"/>
    <mergeCell ref="BP41:BT41"/>
    <mergeCell ref="BW64:BX64"/>
    <mergeCell ref="Y16:Z16"/>
    <mergeCell ref="BB68:BC68"/>
    <mergeCell ref="AN42:AR42"/>
    <mergeCell ref="CD46:CH46"/>
    <mergeCell ref="B1:H1"/>
    <mergeCell ref="BI50:BM50"/>
    <mergeCell ref="CN70:CO70"/>
    <mergeCell ref="AU49:AY49"/>
    <mergeCell ref="V68:W68"/>
    <mergeCell ref="BP24:BT24"/>
    <mergeCell ref="X68:Y68"/>
    <mergeCell ref="AU39:AY39"/>
    <mergeCell ref="C25:D25"/>
    <mergeCell ref="BZ66:CA66"/>
    <mergeCell ref="Z49:AD49"/>
    <mergeCell ref="AU24:AY24"/>
    <mergeCell ref="L42:P42"/>
    <mergeCell ref="Z51:AD51"/>
    <mergeCell ref="BL67:BM67"/>
    <mergeCell ref="Z36:AD36"/>
    <mergeCell ref="AU26:AY26"/>
    <mergeCell ref="L35:P35"/>
    <mergeCell ref="Y10:Z10"/>
    <mergeCell ref="Y11:Z11"/>
    <mergeCell ref="Y12:Z12"/>
    <mergeCell ref="Y13:Z13"/>
    <mergeCell ref="Y14:Z14"/>
    <mergeCell ref="F2:G2"/>
  </mergeCells>
  <conditionalFormatting sqref="H2:I2">
    <cfRule type="expression" dxfId="0" priority="1">
      <formula>ISNUMBER(SEARCH("ОШИБКА",$H$2))</formula>
    </cfRule>
  </conditionalFormatting>
  <dataValidations count="4">
    <dataValidation type="list" errorStyle="warning" allowBlank="1" showInputMessage="1" showErrorMessage="1" sqref="I15:I16" xr:uid="{00000000-0002-0000-0100-000000000000}">
      <formula1>$AD$1:$AD$3</formula1>
    </dataValidation>
    <dataValidation type="list" allowBlank="1" showInputMessage="1" showErrorMessage="1" errorTitle="Некорректный РЦ" error="Выберите РЦ из списка Лист1!A1:A40." promptTitle="Выбор РЦ" prompt="Начните вводить и выберите канонический РЦ." sqref="D5" xr:uid="{00000000-0002-0000-0100-000001000000}">
      <formula1>INDIRECT("'Лист1'!$A$1:$A$40")</formula1>
    </dataValidation>
    <dataValidation type="list" allowBlank="1" showInputMessage="1" showErrorMessage="1" sqref="J36:J40 Q36:Q40 X36:X40 AE36:AE40 AL36:AL40 AS36:AS40 AZ36:AZ40 BG36:BG40 BN36:BN40 BU36:BU40 CB36:CB40 CI36:CI40 CI42:CI52 J42:J52 Q42:Q52 X42:X52 AE42:AE52 AL42:AL52 AS42:AS52 AZ42:AZ52 BG42:BG52 BN42:BN52 BU42:BU52 CB42:CB52 CI25:CI34 CB25:CB34 BU25:BU34 BN25:BN34 BG25:BG34 AZ25:AZ34 AS25:AS34 AL25:AL34 AE25:AE34 X25:X34 Q25:Q34 J25:J34" xr:uid="{3E6135FD-8940-4E0A-94FA-12B53EBAA9B6}">
      <formula1>$AF$1:$AF$2</formula1>
    </dataValidation>
    <dataValidation type="list" errorStyle="warning" allowBlank="1" showInputMessage="1" showErrorMessage="1" sqref="I5:I14" xr:uid="{44D58C05-167E-4DA0-9981-07D17EB131E2}">
      <formula1>$AD$2:$AD$3</formula1>
    </dataValidation>
  </dataValidations>
  <pageMargins left="0.25" right="0.25" top="0.75" bottom="0.75" header="0.3" footer="0.3"/>
  <pageSetup paperSize="9" scale="41" fitToHeight="4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0"/>
  <sheetViews>
    <sheetView workbookViewId="0">
      <selection activeCell="B14" sqref="B14"/>
    </sheetView>
  </sheetViews>
  <sheetFormatPr defaultRowHeight="14.25" x14ac:dyDescent="0.45"/>
  <cols>
    <col min="1" max="1" width="37" customWidth="1"/>
    <col min="2" max="2" width="27.59765625" customWidth="1"/>
  </cols>
  <sheetData>
    <row r="1" spans="1:2" x14ac:dyDescent="0.45">
      <c r="A1" s="116" t="s">
        <v>187</v>
      </c>
      <c r="B1" s="117" t="s">
        <v>188</v>
      </c>
    </row>
    <row r="2" spans="1:2" x14ac:dyDescent="0.45">
      <c r="A2" s="116" t="s">
        <v>189</v>
      </c>
      <c r="B2" s="117" t="s">
        <v>190</v>
      </c>
    </row>
    <row r="3" spans="1:2" x14ac:dyDescent="0.45">
      <c r="A3" s="116" t="s">
        <v>191</v>
      </c>
      <c r="B3" s="117" t="s">
        <v>192</v>
      </c>
    </row>
    <row r="4" spans="1:2" x14ac:dyDescent="0.45">
      <c r="A4" s="116" t="s">
        <v>193</v>
      </c>
      <c r="B4" s="117" t="s">
        <v>194</v>
      </c>
    </row>
    <row r="5" spans="1:2" x14ac:dyDescent="0.45">
      <c r="A5" s="116" t="s">
        <v>195</v>
      </c>
      <c r="B5" s="117" t="s">
        <v>196</v>
      </c>
    </row>
    <row r="6" spans="1:2" x14ac:dyDescent="0.45">
      <c r="A6" s="116" t="s">
        <v>197</v>
      </c>
      <c r="B6" s="117" t="s">
        <v>198</v>
      </c>
    </row>
    <row r="7" spans="1:2" x14ac:dyDescent="0.45">
      <c r="A7" s="116" t="s">
        <v>199</v>
      </c>
      <c r="B7" s="117" t="s">
        <v>200</v>
      </c>
    </row>
    <row r="8" spans="1:2" x14ac:dyDescent="0.45">
      <c r="A8" s="116" t="s">
        <v>201</v>
      </c>
      <c r="B8" s="117" t="s">
        <v>202</v>
      </c>
    </row>
    <row r="9" spans="1:2" x14ac:dyDescent="0.45">
      <c r="A9" s="116" t="s">
        <v>203</v>
      </c>
      <c r="B9" s="117" t="s">
        <v>204</v>
      </c>
    </row>
    <row r="10" spans="1:2" x14ac:dyDescent="0.45">
      <c r="A10" s="116" t="s">
        <v>205</v>
      </c>
      <c r="B10" s="117" t="s">
        <v>206</v>
      </c>
    </row>
    <row r="11" spans="1:2" x14ac:dyDescent="0.45">
      <c r="A11" s="116" t="s">
        <v>207</v>
      </c>
      <c r="B11" s="117" t="s">
        <v>208</v>
      </c>
    </row>
    <row r="12" spans="1:2" x14ac:dyDescent="0.45">
      <c r="A12" s="116" t="s">
        <v>209</v>
      </c>
      <c r="B12" s="117" t="s">
        <v>210</v>
      </c>
    </row>
    <row r="13" spans="1:2" x14ac:dyDescent="0.45">
      <c r="A13" s="116" t="s">
        <v>211</v>
      </c>
      <c r="B13" s="117" t="s">
        <v>212</v>
      </c>
    </row>
    <row r="14" spans="1:2" x14ac:dyDescent="0.45">
      <c r="A14" s="116" t="s">
        <v>213</v>
      </c>
      <c r="B14" s="117" t="s">
        <v>214</v>
      </c>
    </row>
    <row r="15" spans="1:2" x14ac:dyDescent="0.45">
      <c r="A15" s="116" t="s">
        <v>215</v>
      </c>
      <c r="B15" s="117" t="s">
        <v>216</v>
      </c>
    </row>
    <row r="16" spans="1:2" x14ac:dyDescent="0.45">
      <c r="A16" s="116" t="s">
        <v>217</v>
      </c>
      <c r="B16" s="117" t="s">
        <v>218</v>
      </c>
    </row>
    <row r="17" spans="1:2" x14ac:dyDescent="0.45">
      <c r="A17" s="116" t="s">
        <v>219</v>
      </c>
      <c r="B17" s="117" t="s">
        <v>220</v>
      </c>
    </row>
    <row r="18" spans="1:2" x14ac:dyDescent="0.45">
      <c r="A18" s="116" t="s">
        <v>221</v>
      </c>
      <c r="B18" s="117" t="s">
        <v>222</v>
      </c>
    </row>
    <row r="19" spans="1:2" x14ac:dyDescent="0.45">
      <c r="A19" s="116" t="s">
        <v>223</v>
      </c>
      <c r="B19" s="117" t="s">
        <v>224</v>
      </c>
    </row>
    <row r="20" spans="1:2" ht="28.5" x14ac:dyDescent="0.45">
      <c r="A20" s="116" t="s">
        <v>225</v>
      </c>
      <c r="B20" s="117" t="s">
        <v>226</v>
      </c>
    </row>
    <row r="21" spans="1:2" x14ac:dyDescent="0.45">
      <c r="A21" s="116" t="s">
        <v>227</v>
      </c>
      <c r="B21" s="117" t="s">
        <v>228</v>
      </c>
    </row>
    <row r="22" spans="1:2" x14ac:dyDescent="0.45">
      <c r="A22" s="116" t="s">
        <v>229</v>
      </c>
      <c r="B22" s="117" t="s">
        <v>230</v>
      </c>
    </row>
    <row r="23" spans="1:2" x14ac:dyDescent="0.45">
      <c r="A23" s="116" t="s">
        <v>231</v>
      </c>
      <c r="B23" s="117" t="s">
        <v>232</v>
      </c>
    </row>
    <row r="24" spans="1:2" x14ac:dyDescent="0.45">
      <c r="A24" s="116" t="s">
        <v>233</v>
      </c>
      <c r="B24" s="117" t="s">
        <v>234</v>
      </c>
    </row>
    <row r="25" spans="1:2" x14ac:dyDescent="0.45">
      <c r="A25" s="116" t="s">
        <v>235</v>
      </c>
      <c r="B25" s="117" t="s">
        <v>236</v>
      </c>
    </row>
    <row r="26" spans="1:2" x14ac:dyDescent="0.45">
      <c r="A26" s="116" t="s">
        <v>237</v>
      </c>
      <c r="B26" s="117" t="s">
        <v>238</v>
      </c>
    </row>
    <row r="27" spans="1:2" x14ac:dyDescent="0.45">
      <c r="A27" s="116" t="s">
        <v>239</v>
      </c>
      <c r="B27" s="117" t="s">
        <v>240</v>
      </c>
    </row>
    <row r="28" spans="1:2" x14ac:dyDescent="0.45">
      <c r="A28" s="116" t="s">
        <v>241</v>
      </c>
      <c r="B28" s="117" t="s">
        <v>242</v>
      </c>
    </row>
    <row r="29" spans="1:2" x14ac:dyDescent="0.45">
      <c r="A29" s="116" t="s">
        <v>243</v>
      </c>
      <c r="B29" s="117" t="s">
        <v>244</v>
      </c>
    </row>
    <row r="30" spans="1:2" x14ac:dyDescent="0.45">
      <c r="A30" s="116" t="s">
        <v>245</v>
      </c>
      <c r="B30" s="117" t="s">
        <v>246</v>
      </c>
    </row>
    <row r="31" spans="1:2" x14ac:dyDescent="0.45">
      <c r="A31" s="116" t="s">
        <v>247</v>
      </c>
      <c r="B31" s="117" t="s">
        <v>248</v>
      </c>
    </row>
    <row r="32" spans="1:2" x14ac:dyDescent="0.45">
      <c r="A32" s="116" t="s">
        <v>249</v>
      </c>
      <c r="B32" s="117" t="s">
        <v>250</v>
      </c>
    </row>
    <row r="33" spans="1:2" x14ac:dyDescent="0.45">
      <c r="A33" s="116" t="s">
        <v>251</v>
      </c>
      <c r="B33" s="117" t="s">
        <v>252</v>
      </c>
    </row>
    <row r="34" spans="1:2" x14ac:dyDescent="0.45">
      <c r="A34" s="116" t="s">
        <v>253</v>
      </c>
      <c r="B34" s="117" t="s">
        <v>254</v>
      </c>
    </row>
    <row r="35" spans="1:2" x14ac:dyDescent="0.45">
      <c r="A35" s="116" t="s">
        <v>255</v>
      </c>
      <c r="B35" s="117" t="s">
        <v>256</v>
      </c>
    </row>
    <row r="36" spans="1:2" x14ac:dyDescent="0.45">
      <c r="A36" s="116" t="s">
        <v>257</v>
      </c>
      <c r="B36" s="117" t="s">
        <v>258</v>
      </c>
    </row>
    <row r="37" spans="1:2" x14ac:dyDescent="0.45">
      <c r="A37" s="116" t="s">
        <v>259</v>
      </c>
      <c r="B37" s="117" t="s">
        <v>260</v>
      </c>
    </row>
    <row r="38" spans="1:2" x14ac:dyDescent="0.45">
      <c r="A38" s="116" t="s">
        <v>261</v>
      </c>
      <c r="B38" s="117" t="s">
        <v>262</v>
      </c>
    </row>
    <row r="39" spans="1:2" x14ac:dyDescent="0.45">
      <c r="A39" s="116" t="s">
        <v>263</v>
      </c>
      <c r="B39" s="117" t="s">
        <v>264</v>
      </c>
    </row>
    <row r="40" spans="1:2" x14ac:dyDescent="0.45">
      <c r="A40" s="116" t="s">
        <v>265</v>
      </c>
      <c r="B40" s="117" t="s">
        <v>266</v>
      </c>
    </row>
  </sheetData>
  <hyperlinks>
    <hyperlink ref="A1" location="'Отчет Астрахань Тинаки'!A1" tooltip="Открыть Отчет Астрахань Тинаки" display="Астрахань Тинаки" xr:uid="{00000000-0004-0000-0200-000000000000}"/>
    <hyperlink ref="A2" location="'Отчет Батайск Ростов'!A1" tooltip="Открыть Отчет Батайск Ростов" display="Батайск/Ростов-на-Дону" xr:uid="{00000000-0004-0000-0200-000001000000}"/>
    <hyperlink ref="A3" location="'Отчет Великий Новгород'!A1" tooltip="Открыть Отчет Великий Новгород" display="Великий Новгород" xr:uid="{00000000-0004-0000-0200-000002000000}"/>
    <hyperlink ref="A4" location="'Отчет Воронеж'!A1" tooltip="Открыть Отчет Воронеж" display="Воронеж" xr:uid="{00000000-0004-0000-0200-000003000000}"/>
    <hyperlink ref="A5" location="'Отчет Дзержинск'!A1" tooltip="Открыть Отчет Дзержинск" display="Дзержинск" xr:uid="{00000000-0004-0000-0200-000004000000}"/>
    <hyperlink ref="A6" location="'Отчет Дмитров'!A1" tooltip="Открыть Отчет Дмитров" display="Дмитров" xr:uid="{00000000-0004-0000-0200-000005000000}"/>
    <hyperlink ref="A7" location="'Отчет Ерзовка'!A1" tooltip="Открыть Отчет Ерзовка" display="Ерзовка" xr:uid="{00000000-0004-0000-0200-000006000000}"/>
    <hyperlink ref="A8" location="'Отчет Зеленодольск'!A1" tooltip="Открыть Отчет Зеленодольск" display="Зеленодольск" xr:uid="{00000000-0004-0000-0200-000007000000}"/>
    <hyperlink ref="A9" location="'Отчет Иваново'!A1" tooltip="Открыть Отчет Иваново" display="Иваново" xr:uid="{00000000-0004-0000-0200-000008000000}"/>
    <hyperlink ref="A10" location="'Отчет Ижевск'!A1" tooltip="Открыть Отчет Ижевск" display="Ижевск" xr:uid="{00000000-0004-0000-0200-000009000000}"/>
    <hyperlink ref="A11" location="'Отчет Кемерово'!A1" tooltip="Открыть Отчет Кемерово" display="Кемерово" xr:uid="{00000000-0004-0000-0200-00000A000000}"/>
    <hyperlink ref="A12" location="'Отчет Киров'!A1" tooltip="Открыть Отчет Киров" display="Киров" xr:uid="{00000000-0004-0000-0200-00000B000000}"/>
    <hyperlink ref="A13" location="'Отчет Коломна'!A1" tooltip="Открыть Отчет Коломна" display="Коломна" xr:uid="{00000000-0004-0000-0200-00000C000000}"/>
    <hyperlink ref="A14" location="'Отчет Колпино'!A1" tooltip="Открыть Отчет Колпино" display="Колпино" xr:uid="{00000000-0004-0000-0200-00000D000000}"/>
    <hyperlink ref="A15" location="'Отчет Краснодар Инд.'!A1" tooltip="Открыть Отчет Краснодар Инд." display="Краснодар Индустриальный" xr:uid="{00000000-0004-0000-0200-00000E000000}"/>
    <hyperlink ref="A16" location="'Отчет Кропоткин'!A1" tooltip="Открыть Отчет Кропоткин" display="Кропоткин" xr:uid="{00000000-0004-0000-0200-00000F000000}"/>
    <hyperlink ref="A17" location="'Отчет Лермонтов'!A1" tooltip="Открыть Отчет Лермонтов" display="Лермонтов" xr:uid="{00000000-0004-0000-0200-000010000000}"/>
    <hyperlink ref="A18" location="'Отчет Москва Восток BTR'!A1" tooltip="Открыть Отчет Москва Восток BTR" display="Москва Восток BTR" xr:uid="{00000000-0004-0000-0200-000011000000}"/>
    <hyperlink ref="A19" location="'Отчет Мурманск'!A1" tooltip="Открыть Отчет Мурманск" display="Мурманск" xr:uid="{00000000-0004-0000-0200-000012000000}"/>
    <hyperlink ref="A20" location="'Отчет Новосибирск Садовый'!A1" tooltip="Открыть Отчет Новосибирск Садовый" display="Новосибирск Садовый (новый)" xr:uid="{00000000-0004-0000-0200-000013000000}"/>
    <hyperlink ref="A21" location="'Отчет Омск'!A1" tooltip="Открыть Отчет Омск" display="Омск" xr:uid="{00000000-0004-0000-0200-000014000000}"/>
    <hyperlink ref="A22" location="'Отчет Орел Хардиково'!A1" tooltip="Открыть Отчет Орел Хардиково" display="Орел (Хардиково)" xr:uid="{00000000-0004-0000-0200-000015000000}"/>
    <hyperlink ref="A23" location="'Отчет Оренбург Ленина'!A1" tooltip="Открыть Отчет Оренбург Ленина" display="Оренбург Ленина" xr:uid="{00000000-0004-0000-0200-000016000000}"/>
    <hyperlink ref="A24" location="'Отчет Пенза'!A1" tooltip="Открыть Отчет Пенза" display="Пенза" xr:uid="{00000000-0004-0000-0200-000017000000}"/>
    <hyperlink ref="A25" location="'Отчет Первоуральск'!A1" tooltip="Открыть Отчет Первоуральск" display="Первоуральск" xr:uid="{00000000-0004-0000-0200-000018000000}"/>
    <hyperlink ref="A26" location="'Отчет Пермь'!A1" tooltip="Открыть Отчет Пермь" display="Пермь" xr:uid="{00000000-0004-0000-0200-000019000000}"/>
    <hyperlink ref="A27" location="'Отчет Ростов-на-Дону'!A1" tooltip="Открыть Отчет Ростов-на-Дону" display="Ростов-на-Дону" xr:uid="{00000000-0004-0000-0200-00001A000000}"/>
    <hyperlink ref="A28" location="'Отчет Славянск'!A1" tooltip="Открыть Отчет Славянск" display="Славянск-на-Кубани" xr:uid="{00000000-0004-0000-0200-00001B000000}"/>
    <hyperlink ref="A29" location="'Отчет Смоленск'!A1" tooltip="Открыть Отчет Смоленск" display="Смоленск" xr:uid="{00000000-0004-0000-0200-00001C000000}"/>
    <hyperlink ref="A30" location="'Отчет Стерлитамак'!A1" tooltip="Открыть Отчет Стерлитамак" display="Стерлитамак" xr:uid="{00000000-0004-0000-0200-00001D000000}"/>
    <hyperlink ref="A31" location="'Отчет Сургут'!A1" tooltip="Открыть Отчет Сургут" display="Сургут" xr:uid="{00000000-0004-0000-0200-00001E000000}"/>
    <hyperlink ref="A32" location="'Отчет Тамбов'!A1" tooltip="Открыть Отчет Тамбов" display="Тамбов" xr:uid="{00000000-0004-0000-0200-00001F000000}"/>
    <hyperlink ref="A33" location="'Отчет Тольятти'!A1" tooltip="Открыть Отчет Тольятти" display="Тольятти (новый)" xr:uid="{00000000-0004-0000-0200-000020000000}"/>
    <hyperlink ref="A34" location="'Отчет Тула'!A1" tooltip="Открыть Отчет Тула" display="Тула" xr:uid="{00000000-0004-0000-0200-000021000000}"/>
    <hyperlink ref="A35" location="'Отчет Тюмень'!A1" tooltip="Открыть Отчет Тюмень" display="Тюмень" xr:uid="{00000000-0004-0000-0200-000022000000}"/>
    <hyperlink ref="A36" location="'Отчет Челябинск BTR'!A1" tooltip="Открыть Отчет Челябинск BTR" display="Челябинск BTR" xr:uid="{00000000-0004-0000-0200-000023000000}"/>
    <hyperlink ref="A37" location="'Отчет Шахты'!A1" tooltip="Открыть Отчет Шахты" display="Шахты" xr:uid="{00000000-0004-0000-0200-000024000000}"/>
    <hyperlink ref="A38" location="'Отчет Шушары (а)'!A1" tooltip="Открыть Отчет Шушары (а)" display="Шушары (а)" xr:uid="{00000000-0004-0000-0200-000025000000}"/>
    <hyperlink ref="A39" location="'Отчет Энгельс'!A1" tooltip="Открыть Отчет Энгельс" display="Энгельс" xr:uid="{00000000-0004-0000-0200-000026000000}"/>
    <hyperlink ref="A40" location="'Отчет Ярославль'!A1" tooltip="Открыть Отчет Ярославль" display="Ярославль" xr:uid="{00000000-0004-0000-0200-00002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/>
  </sheetViews>
  <sheetFormatPr defaultRowHeight="14.25" x14ac:dyDescent="0.45"/>
  <sheetData>
    <row r="1" spans="1:2" x14ac:dyDescent="0.45">
      <c r="A1" s="99" t="s">
        <v>267</v>
      </c>
      <c r="B1" s="99" t="s">
        <v>268</v>
      </c>
    </row>
    <row r="2" spans="1:2" x14ac:dyDescent="0.45">
      <c r="A2" t="s">
        <v>74</v>
      </c>
      <c r="B2" t="s">
        <v>269</v>
      </c>
    </row>
    <row r="3" spans="1:2" x14ac:dyDescent="0.45">
      <c r="A3" t="s">
        <v>117</v>
      </c>
      <c r="B3" t="s">
        <v>270</v>
      </c>
    </row>
    <row r="4" spans="1:2" x14ac:dyDescent="0.45">
      <c r="A4" t="s">
        <v>121</v>
      </c>
      <c r="B4" t="s">
        <v>271</v>
      </c>
    </row>
    <row r="5" spans="1:2" x14ac:dyDescent="0.45">
      <c r="A5" t="s">
        <v>175</v>
      </c>
      <c r="B5" t="s">
        <v>272</v>
      </c>
    </row>
    <row r="7" spans="1:2" x14ac:dyDescent="0.45">
      <c r="A7" t="s">
        <v>273</v>
      </c>
      <c r="B7" t="s">
        <v>274</v>
      </c>
    </row>
    <row r="8" spans="1:2" x14ac:dyDescent="0.45">
      <c r="A8" t="s">
        <v>275</v>
      </c>
      <c r="B8" t="s">
        <v>276</v>
      </c>
    </row>
    <row r="9" spans="1:2" x14ac:dyDescent="0.45">
      <c r="A9" t="s">
        <v>277</v>
      </c>
      <c r="B9" t="s">
        <v>278</v>
      </c>
    </row>
    <row r="10" spans="1:2" x14ac:dyDescent="0.45">
      <c r="A10" t="s">
        <v>279</v>
      </c>
      <c r="B10">
        <v>12</v>
      </c>
    </row>
    <row r="11" spans="1:2" x14ac:dyDescent="0.45">
      <c r="A11" t="s">
        <v>280</v>
      </c>
      <c r="B11">
        <v>12</v>
      </c>
    </row>
    <row r="12" spans="1:2" x14ac:dyDescent="0.45">
      <c r="A12" t="s">
        <v>281</v>
      </c>
      <c r="B12">
        <v>5</v>
      </c>
    </row>
    <row r="13" spans="1:2" x14ac:dyDescent="0.45">
      <c r="A13" t="s">
        <v>282</v>
      </c>
      <c r="B13">
        <v>5</v>
      </c>
    </row>
    <row r="14" spans="1:2" x14ac:dyDescent="0.45">
      <c r="A14" t="s">
        <v>283</v>
      </c>
      <c r="B14">
        <v>2</v>
      </c>
    </row>
    <row r="15" spans="1:2" x14ac:dyDescent="0.45">
      <c r="A15" t="s">
        <v>284</v>
      </c>
      <c r="B15" t="s">
        <v>285</v>
      </c>
    </row>
    <row r="16" spans="1:2" x14ac:dyDescent="0.45">
      <c r="A16" t="s">
        <v>286</v>
      </c>
      <c r="B16" t="s">
        <v>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>
      <selection activeCell="L5" sqref="L5"/>
    </sheetView>
  </sheetViews>
  <sheetFormatPr defaultRowHeight="14.25" x14ac:dyDescent="0.45"/>
  <sheetData>
    <row r="1" spans="1:1" x14ac:dyDescent="0.45">
      <c r="A1" t="s">
        <v>288</v>
      </c>
    </row>
    <row r="2" spans="1:1" x14ac:dyDescent="0.45">
      <c r="A2" t="s">
        <v>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19</vt:i4>
      </vt:variant>
    </vt:vector>
  </HeadingPairs>
  <TitlesOfParts>
    <vt:vector size="24" baseType="lpstr">
      <vt:lpstr>Пошаговая_инстр_МОКК</vt:lpstr>
      <vt:lpstr>Чек лист_ДП_Отчет</vt:lpstr>
      <vt:lpstr>Лист1</vt:lpstr>
      <vt:lpstr>Тех_метки_для_Python</vt:lpstr>
      <vt:lpstr>вспомогательная таблица</vt:lpstr>
      <vt:lpstr>checklist_duration</vt:lpstr>
      <vt:lpstr>checklist_end</vt:lpstr>
      <vt:lpstr>checklist_start</vt:lpstr>
      <vt:lpstr>expansion_group_1</vt:lpstr>
      <vt:lpstr>expansion_group_2</vt:lpstr>
      <vt:lpstr>layout_mode</vt:lpstr>
      <vt:lpstr>package_acceptance_duration</vt:lpstr>
      <vt:lpstr>package_acceptance_end</vt:lpstr>
      <vt:lpstr>package_acceptance_start</vt:lpstr>
      <vt:lpstr>schema_version</vt:lpstr>
      <vt:lpstr>sku_capacity</vt:lpstr>
      <vt:lpstr>sku_status_anchor</vt:lpstr>
      <vt:lpstr>sku_time_duration_anchor</vt:lpstr>
      <vt:lpstr>sku_time_end_anchor</vt:lpstr>
      <vt:lpstr>sku_time_start_anchor</vt:lpstr>
      <vt:lpstr>template_id</vt:lpstr>
      <vt:lpstr>template_version</vt:lpstr>
      <vt:lpstr>total_cycle_duration</vt:lpstr>
      <vt:lpstr>visible_base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Александр проничев</cp:lastModifiedBy>
  <cp:lastPrinted>2026-04-10T14:11:54Z</cp:lastPrinted>
  <dcterms:created xsi:type="dcterms:W3CDTF">2026-01-28T15:21:23Z</dcterms:created>
  <dcterms:modified xsi:type="dcterms:W3CDTF">2026-09-16T12:04:57Z</dcterms:modified>
</cp:coreProperties>
</file>